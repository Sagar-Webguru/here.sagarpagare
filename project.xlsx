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here.sagarpagare\"/>
    </mc:Choice>
  </mc:AlternateContent>
  <xr:revisionPtr revIDLastSave="0" documentId="13_ncr:1_{57D38F9B-E007-4AB7-AB28-B43079ACC901}" xr6:coauthVersionLast="47" xr6:coauthVersionMax="47" xr10:uidLastSave="{00000000-0000-0000-0000-000000000000}"/>
  <bookViews>
    <workbookView xWindow="-120" yWindow="-120" windowWidth="20730" windowHeight="11160" activeTab="3" xr2:uid="{594B189D-E366-4B22-8C4B-1A844C142B7F}"/>
  </bookViews>
  <sheets>
    <sheet name="Sheet2" sheetId="2" r:id="rId1"/>
    <sheet name="Sheet3" sheetId="3" r:id="rId2"/>
    <sheet name="Sheet1" sheetId="1" r:id="rId3"/>
    <sheet name="Sheet4" sheetId="4" r:id="rId4"/>
  </sheets>
  <definedNames>
    <definedName name="Slicer_Item">#N/A</definedName>
    <definedName name="Slicer_Outlet">#N/A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17" i="4" l="1"/>
  <c r="Q4" i="4"/>
  <c r="P13" i="4"/>
  <c r="P12" i="4"/>
  <c r="P11" i="4"/>
  <c r="P10" i="4"/>
  <c r="P9" i="4"/>
  <c r="P8" i="4"/>
  <c r="P7" i="4"/>
  <c r="P6" i="4"/>
  <c r="P5" i="4"/>
  <c r="P4" i="4"/>
  <c r="Q16" i="4"/>
  <c r="O16" i="4"/>
  <c r="O15" i="4"/>
  <c r="O14" i="4"/>
  <c r="C3" i="4"/>
  <c r="L15" i="4" l="1"/>
  <c r="J14" i="4"/>
  <c r="J13" i="4"/>
  <c r="J6" i="4"/>
  <c r="G7" i="4"/>
  <c r="G8" i="4" s="1"/>
  <c r="G9" i="4" s="1"/>
  <c r="G6" i="4"/>
  <c r="E11" i="4"/>
  <c r="D11" i="4"/>
  <c r="J7" i="1"/>
  <c r="J6" i="1"/>
  <c r="G11" i="4" l="1"/>
  <c r="J7" i="4"/>
  <c r="J8" i="4" l="1"/>
  <c r="J9" i="4" s="1"/>
  <c r="J12" i="4" l="1"/>
  <c r="J11" i="4"/>
</calcChain>
</file>

<file path=xl/sharedStrings.xml><?xml version="1.0" encoding="utf-8"?>
<sst xmlns="http://schemas.openxmlformats.org/spreadsheetml/2006/main" count="162" uniqueCount="61">
  <si>
    <t>Date</t>
  </si>
  <si>
    <t>Outlet</t>
  </si>
  <si>
    <t>Category</t>
  </si>
  <si>
    <t>Item</t>
  </si>
  <si>
    <t>Qty</t>
  </si>
  <si>
    <t>Unit Cost</t>
  </si>
  <si>
    <t>Total Cost</t>
  </si>
  <si>
    <t>Pune</t>
  </si>
  <si>
    <t>Meat</t>
  </si>
  <si>
    <t>Chicken</t>
  </si>
  <si>
    <t>Grocery</t>
  </si>
  <si>
    <t>Rice</t>
  </si>
  <si>
    <t>Vegetable</t>
  </si>
  <si>
    <t>Onion</t>
  </si>
  <si>
    <t>Mumbai</t>
  </si>
  <si>
    <t>Tomato</t>
  </si>
  <si>
    <t>Nashik</t>
  </si>
  <si>
    <t>Dairy</t>
  </si>
  <si>
    <t>Milk</t>
  </si>
  <si>
    <t>Sugar</t>
  </si>
  <si>
    <t>Flour</t>
  </si>
  <si>
    <t>Butter</t>
  </si>
  <si>
    <t>Oil</t>
  </si>
  <si>
    <t>Potato</t>
  </si>
  <si>
    <t>Cheese</t>
  </si>
  <si>
    <t>Fish</t>
  </si>
  <si>
    <t>Beverage</t>
  </si>
  <si>
    <t>Coffee</t>
  </si>
  <si>
    <t>Tea</t>
  </si>
  <si>
    <t>Soft Drink</t>
  </si>
  <si>
    <t>Top 10 Highest Cost Items</t>
  </si>
  <si>
    <t>Category-wise Spend</t>
  </si>
  <si>
    <t>Outlet-wise Cost Comparison</t>
  </si>
  <si>
    <t>Monthly Cost Trend</t>
  </si>
  <si>
    <t>Top 10 Consumption Items</t>
  </si>
  <si>
    <t>horizonatl bar char</t>
  </si>
  <si>
    <t>pie chart</t>
  </si>
  <si>
    <t>Column Chart</t>
  </si>
  <si>
    <t>Line Chart</t>
  </si>
  <si>
    <t>Bar Chart</t>
  </si>
  <si>
    <t>Row Labels</t>
  </si>
  <si>
    <t>Grand Total</t>
  </si>
  <si>
    <t>Sum of Total Cost</t>
  </si>
  <si>
    <t>Sum of Qty</t>
  </si>
  <si>
    <t>Avg</t>
  </si>
  <si>
    <t>max</t>
  </si>
  <si>
    <t>min</t>
  </si>
  <si>
    <t>range</t>
  </si>
  <si>
    <t>महिना</t>
  </si>
  <si>
    <t>Food Cost %</t>
  </si>
  <si>
    <t>Jan</t>
  </si>
  <si>
    <t>Feb</t>
  </si>
  <si>
    <t>Mar</t>
  </si>
  <si>
    <t>Apr</t>
  </si>
  <si>
    <t>May</t>
  </si>
  <si>
    <t>Jun</t>
  </si>
  <si>
    <t>Jul</t>
  </si>
  <si>
    <t>Aug</t>
  </si>
  <si>
    <t>Sep</t>
  </si>
  <si>
    <t>Oct</t>
  </si>
  <si>
    <t>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</si>
</sst>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43" fontId="0" fillId="0" borderId="0" xfId="1" applyFont="1"/>
    <xf numFmtId="0" fontId="2" fillId="0" borderId="0" xfId="0" applyFont="1"/>
    <xf numFmtId="43"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9" fontId="0" fillId="0" borderId="0" xfId="2" applyFo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Sheet2!$A$4:$A$19</c:f>
              <c:strCache>
                <c:ptCount val="15"/>
                <c:pt idx="0">
                  <c:v>Butter</c:v>
                </c:pt>
                <c:pt idx="1">
                  <c:v>Cheese</c:v>
                </c:pt>
                <c:pt idx="2">
                  <c:v>Chicken</c:v>
                </c:pt>
                <c:pt idx="3">
                  <c:v>Coffee</c:v>
                </c:pt>
                <c:pt idx="4">
                  <c:v>Fish</c:v>
                </c:pt>
                <c:pt idx="5">
                  <c:v>Flour</c:v>
                </c:pt>
                <c:pt idx="6">
                  <c:v>Milk</c:v>
                </c:pt>
                <c:pt idx="7">
                  <c:v>Oil</c:v>
                </c:pt>
                <c:pt idx="8">
                  <c:v>Onion</c:v>
                </c:pt>
                <c:pt idx="9">
                  <c:v>Potato</c:v>
                </c:pt>
                <c:pt idx="10">
                  <c:v>Rice</c:v>
                </c:pt>
                <c:pt idx="11">
                  <c:v>Soft Drink</c:v>
                </c:pt>
                <c:pt idx="12">
                  <c:v>Sugar</c:v>
                </c:pt>
                <c:pt idx="13">
                  <c:v>Tea</c:v>
                </c:pt>
                <c:pt idx="14">
                  <c:v>Tomato</c:v>
                </c:pt>
              </c:strCache>
            </c:strRef>
          </c:cat>
          <c:val>
            <c:numRef>
              <c:f>Sheet2!$B$4:$B$19</c:f>
              <c:numCache>
                <c:formatCode>General</c:formatCode>
                <c:ptCount val="15"/>
                <c:pt idx="0">
                  <c:v>36400</c:v>
                </c:pt>
                <c:pt idx="1">
                  <c:v>40500</c:v>
                </c:pt>
                <c:pt idx="2">
                  <c:v>89790</c:v>
                </c:pt>
                <c:pt idx="3">
                  <c:v>35000</c:v>
                </c:pt>
                <c:pt idx="4">
                  <c:v>28000</c:v>
                </c:pt>
                <c:pt idx="5">
                  <c:v>17010</c:v>
                </c:pt>
                <c:pt idx="6">
                  <c:v>28080</c:v>
                </c:pt>
                <c:pt idx="7">
                  <c:v>36950</c:v>
                </c:pt>
                <c:pt idx="8">
                  <c:v>12440</c:v>
                </c:pt>
                <c:pt idx="9">
                  <c:v>7000</c:v>
                </c:pt>
                <c:pt idx="10">
                  <c:v>45670</c:v>
                </c:pt>
                <c:pt idx="11">
                  <c:v>10500</c:v>
                </c:pt>
                <c:pt idx="12">
                  <c:v>14720</c:v>
                </c:pt>
                <c:pt idx="13">
                  <c:v>33600</c:v>
                </c:pt>
                <c:pt idx="14">
                  <c:v>16740</c:v>
                </c:pt>
              </c:numCache>
            </c:numRef>
          </c:val>
          <c:extLst>
            <c:ext xmlns:c16="http://schemas.microsoft.com/office/drawing/2014/chart" uri="{C3380CC4-5D6E-409C-BE32-E72D297353CC}">
              <c16:uniqueId val="{00000000-0299-408A-A874-8A5FB61E174B}"/>
            </c:ext>
          </c:extLst>
        </c:ser>
        <c:dLbls>
          <c:showLegendKey val="0"/>
          <c:showVal val="0"/>
          <c:showCatName val="0"/>
          <c:showSerName val="0"/>
          <c:showPercent val="0"/>
          <c:showBubbleSize val="0"/>
        </c:dLbls>
        <c:gapWidth val="182"/>
        <c:axId val="1432890447"/>
        <c:axId val="1432886287"/>
      </c:barChart>
      <c:catAx>
        <c:axId val="143289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886287"/>
        <c:crosses val="autoZero"/>
        <c:auto val="1"/>
        <c:lblAlgn val="ctr"/>
        <c:lblOffset val="100"/>
        <c:noMultiLvlLbl val="0"/>
      </c:catAx>
      <c:valAx>
        <c:axId val="1432886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89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Sheet2!$B$21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Sheet2!$A$22:$A$27</c:f>
              <c:strCache>
                <c:ptCount val="5"/>
                <c:pt idx="0">
                  <c:v>Beverage</c:v>
                </c:pt>
                <c:pt idx="1">
                  <c:v>Dairy</c:v>
                </c:pt>
                <c:pt idx="2">
                  <c:v>Grocery</c:v>
                </c:pt>
                <c:pt idx="3">
                  <c:v>Meat</c:v>
                </c:pt>
                <c:pt idx="4">
                  <c:v>Vegetable</c:v>
                </c:pt>
              </c:strCache>
            </c:strRef>
          </c:cat>
          <c:val>
            <c:numRef>
              <c:f>Sheet2!$B$22:$B$27</c:f>
              <c:numCache>
                <c:formatCode>General</c:formatCode>
                <c:ptCount val="5"/>
                <c:pt idx="0">
                  <c:v>79100</c:v>
                </c:pt>
                <c:pt idx="1">
                  <c:v>104980</c:v>
                </c:pt>
                <c:pt idx="2">
                  <c:v>114350</c:v>
                </c:pt>
                <c:pt idx="3">
                  <c:v>117790</c:v>
                </c:pt>
                <c:pt idx="4">
                  <c:v>36180</c:v>
                </c:pt>
              </c:numCache>
            </c:numRef>
          </c:val>
          <c:extLst>
            <c:ext xmlns:c16="http://schemas.microsoft.com/office/drawing/2014/chart" uri="{C3380CC4-5D6E-409C-BE32-E72D297353CC}">
              <c16:uniqueId val="{00000000-91FF-450B-961D-4AB7BC7D006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[project.xlsx]Sheet2!PivotTable3</c:name>
    <c:fmtId val="1"/>
  </c:pivotSource>
  <c:chart>
    <c:autoTitleDeleted val="1"/>
    <c:pivotFmts>
      <c:pivotFmt>
        <c:idx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Sheet2!$B$31</c:f>
              <c:strCache>
                <c:ptCount val="1"/>
                <c:pt idx="0">
                  <c:v>Total</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noFill/>
            </a:ln>
            <a:effectLst/>
          </c:spPr>
          <c:invertIfNegative val="0"/>
          <c:cat>
            <c:strRef>
              <c:f>Sheet2!$A$32:$A$35</c:f>
              <c:strCache>
                <c:ptCount val="3"/>
                <c:pt idx="0">
                  <c:v>Mumbai</c:v>
                </c:pt>
                <c:pt idx="1">
                  <c:v>Nashik</c:v>
                </c:pt>
                <c:pt idx="2">
                  <c:v>Pune</c:v>
                </c:pt>
              </c:strCache>
            </c:strRef>
          </c:cat>
          <c:val>
            <c:numRef>
              <c:f>Sheet2!$B$32:$B$35</c:f>
              <c:numCache>
                <c:formatCode>General</c:formatCode>
                <c:ptCount val="3"/>
                <c:pt idx="0">
                  <c:v>167690</c:v>
                </c:pt>
                <c:pt idx="1">
                  <c:v>102930</c:v>
                </c:pt>
                <c:pt idx="2">
                  <c:v>181780</c:v>
                </c:pt>
              </c:numCache>
            </c:numRef>
          </c:val>
          <c:extLst>
            <c:ext xmlns:c16="http://schemas.microsoft.com/office/drawing/2014/chart" uri="{C3380CC4-5D6E-409C-BE32-E72D297353CC}">
              <c16:uniqueId val="{00000000-C3F0-4568-91B7-3EAF24A07F36}"/>
            </c:ext>
          </c:extLst>
        </c:ser>
        <c:dLbls>
          <c:showLegendKey val="0"/>
          <c:showVal val="0"/>
          <c:showCatName val="0"/>
          <c:showSerName val="0"/>
          <c:showPercent val="0"/>
          <c:showBubbleSize val="0"/>
        </c:dLbls>
        <c:gapWidth val="219"/>
        <c:overlap val="-27"/>
        <c:axId val="1513549999"/>
        <c:axId val="1513557903"/>
      </c:barChart>
      <c:catAx>
        <c:axId val="151354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57903"/>
        <c:crosses val="autoZero"/>
        <c:auto val="1"/>
        <c:lblAlgn val="ctr"/>
        <c:lblOffset val="100"/>
        <c:noMultiLvlLbl val="0"/>
      </c:catAx>
      <c:valAx>
        <c:axId val="1513557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4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50800" dir="5400000" sx="1000" sy="1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[project.xlsx]Sheet2!PivotTable4</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Sheet2!$B$41</c:f>
              <c:strCache>
                <c:ptCount val="1"/>
                <c:pt idx="0">
                  <c:v>Total</c:v>
                </c:pt>
              </c:strCache>
            </c:strRef>
          </c:tx>
          <c:spPr>
            <a:ln w="28575" cap="rnd">
              <a:solidFill>
                <a:schemeClr val="accent1"/>
              </a:solidFill>
              <a:round/>
            </a:ln>
            <a:effectLst/>
          </c:spPr>
          <c:marker>
            <c:symbol val="none"/>
          </c:marker>
          <c:cat>
            <c:strRef>
              <c:f>Sheet2!$A$42:$A$54</c:f>
              <c:strCache>
                <c:ptCount val="12"/>
                <c:pt idx="0">
                  <c:v>01-01-2026</c:v>
                </c:pt>
                <c:pt idx="1">
                  <c:v>02-01-2026</c:v>
                </c:pt>
                <c:pt idx="2">
                  <c:v>03-01-2026</c:v>
                </c:pt>
                <c:pt idx="3">
                  <c:v>04-01-2026</c:v>
                </c:pt>
                <c:pt idx="4">
                  <c:v>05-01-2026</c:v>
                </c:pt>
                <c:pt idx="5">
                  <c:v>06-01-2026</c:v>
                </c:pt>
                <c:pt idx="6">
                  <c:v>07-01-2026</c:v>
                </c:pt>
                <c:pt idx="7">
                  <c:v>08-01-2026</c:v>
                </c:pt>
                <c:pt idx="8">
                  <c:v>09-01-2026</c:v>
                </c:pt>
                <c:pt idx="9">
                  <c:v>10-01-2026</c:v>
                </c:pt>
                <c:pt idx="10">
                  <c:v>11-01-2026</c:v>
                </c:pt>
                <c:pt idx="11">
                  <c:v>12-01-2026</c:v>
                </c:pt>
              </c:strCache>
            </c:strRef>
          </c:cat>
          <c:val>
            <c:numRef>
              <c:f>Sheet2!$B$42:$B$54</c:f>
              <c:numCache>
                <c:formatCode>General</c:formatCode>
                <c:ptCount val="12"/>
                <c:pt idx="0">
                  <c:v>45550</c:v>
                </c:pt>
                <c:pt idx="1">
                  <c:v>58550</c:v>
                </c:pt>
                <c:pt idx="2">
                  <c:v>27900</c:v>
                </c:pt>
                <c:pt idx="3">
                  <c:v>52350</c:v>
                </c:pt>
                <c:pt idx="4">
                  <c:v>47500</c:v>
                </c:pt>
                <c:pt idx="5">
                  <c:v>43120</c:v>
                </c:pt>
                <c:pt idx="6">
                  <c:v>68600</c:v>
                </c:pt>
                <c:pt idx="7">
                  <c:v>16740</c:v>
                </c:pt>
                <c:pt idx="8">
                  <c:v>21000</c:v>
                </c:pt>
                <c:pt idx="9">
                  <c:v>44520</c:v>
                </c:pt>
                <c:pt idx="10">
                  <c:v>7040</c:v>
                </c:pt>
                <c:pt idx="11">
                  <c:v>19530</c:v>
                </c:pt>
              </c:numCache>
            </c:numRef>
          </c:val>
          <c:smooth val="0"/>
          <c:extLst>
            <c:ext xmlns:c16="http://schemas.microsoft.com/office/drawing/2014/chart" uri="{C3380CC4-5D6E-409C-BE32-E72D297353CC}">
              <c16:uniqueId val="{00000000-AE06-490B-805D-74A188EADA0A}"/>
            </c:ext>
          </c:extLst>
        </c:ser>
        <c:dLbls>
          <c:showLegendKey val="0"/>
          <c:showVal val="0"/>
          <c:showCatName val="0"/>
          <c:showSerName val="0"/>
          <c:showPercent val="0"/>
          <c:showBubbleSize val="0"/>
        </c:dLbls>
        <c:smooth val="0"/>
        <c:axId val="1513593679"/>
        <c:axId val="1513574543"/>
      </c:lineChart>
      <c:catAx>
        <c:axId val="151359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74543"/>
        <c:crosses val="autoZero"/>
        <c:auto val="1"/>
        <c:lblAlgn val="ctr"/>
        <c:lblOffset val="100"/>
        <c:noMultiLvlLbl val="0"/>
      </c:catAx>
      <c:valAx>
        <c:axId val="1513574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93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Sheet2!$B$57</c:f>
              <c:strCache>
                <c:ptCount val="1"/>
                <c:pt idx="0">
                  <c:v>Total</c:v>
                </c:pt>
              </c:strCache>
            </c:strRef>
          </c:tx>
          <c:spPr>
            <a:solidFill>
              <a:schemeClr val="accent1"/>
            </a:solidFill>
            <a:ln>
              <a:noFill/>
            </a:ln>
            <a:effectLst/>
          </c:spPr>
          <c:invertIfNegative val="0"/>
          <c:cat>
            <c:strRef>
              <c:f>Sheet2!$A$58:$A$73</c:f>
              <c:strCache>
                <c:ptCount val="15"/>
                <c:pt idx="0">
                  <c:v>Butter</c:v>
                </c:pt>
                <c:pt idx="1">
                  <c:v>Cheese</c:v>
                </c:pt>
                <c:pt idx="2">
                  <c:v>Chicken</c:v>
                </c:pt>
                <c:pt idx="3">
                  <c:v>Coffee</c:v>
                </c:pt>
                <c:pt idx="4">
                  <c:v>Fish</c:v>
                </c:pt>
                <c:pt idx="5">
                  <c:v>Flour</c:v>
                </c:pt>
                <c:pt idx="6">
                  <c:v>Milk</c:v>
                </c:pt>
                <c:pt idx="7">
                  <c:v>Oil</c:v>
                </c:pt>
                <c:pt idx="8">
                  <c:v>Onion</c:v>
                </c:pt>
                <c:pt idx="9">
                  <c:v>Potato</c:v>
                </c:pt>
                <c:pt idx="10">
                  <c:v>Rice</c:v>
                </c:pt>
                <c:pt idx="11">
                  <c:v>Soft Drink</c:v>
                </c:pt>
                <c:pt idx="12">
                  <c:v>Sugar</c:v>
                </c:pt>
                <c:pt idx="13">
                  <c:v>Tea</c:v>
                </c:pt>
                <c:pt idx="14">
                  <c:v>Tomato</c:v>
                </c:pt>
              </c:strCache>
            </c:strRef>
          </c:cat>
          <c:val>
            <c:numRef>
              <c:f>Sheet2!$B$58:$B$73</c:f>
              <c:numCache>
                <c:formatCode>General</c:formatCode>
                <c:ptCount val="15"/>
                <c:pt idx="0">
                  <c:v>70</c:v>
                </c:pt>
                <c:pt idx="1">
                  <c:v>90</c:v>
                </c:pt>
                <c:pt idx="2">
                  <c:v>400</c:v>
                </c:pt>
                <c:pt idx="3">
                  <c:v>50</c:v>
                </c:pt>
                <c:pt idx="4">
                  <c:v>80</c:v>
                </c:pt>
                <c:pt idx="5">
                  <c:v>400</c:v>
                </c:pt>
                <c:pt idx="6">
                  <c:v>460</c:v>
                </c:pt>
                <c:pt idx="7">
                  <c:v>250</c:v>
                </c:pt>
                <c:pt idx="8">
                  <c:v>400</c:v>
                </c:pt>
                <c:pt idx="9">
                  <c:v>250</c:v>
                </c:pt>
                <c:pt idx="10">
                  <c:v>830</c:v>
                </c:pt>
                <c:pt idx="11">
                  <c:v>300</c:v>
                </c:pt>
                <c:pt idx="12">
                  <c:v>300</c:v>
                </c:pt>
                <c:pt idx="13">
                  <c:v>120</c:v>
                </c:pt>
                <c:pt idx="14">
                  <c:v>430</c:v>
                </c:pt>
              </c:numCache>
            </c:numRef>
          </c:val>
          <c:extLst>
            <c:ext xmlns:c16="http://schemas.microsoft.com/office/drawing/2014/chart" uri="{C3380CC4-5D6E-409C-BE32-E72D297353CC}">
              <c16:uniqueId val="{00000000-9EB2-4A01-81E0-974BCDE2543F}"/>
            </c:ext>
          </c:extLst>
        </c:ser>
        <c:dLbls>
          <c:showLegendKey val="0"/>
          <c:showVal val="0"/>
          <c:showCatName val="0"/>
          <c:showSerName val="0"/>
          <c:showPercent val="0"/>
          <c:showBubbleSize val="0"/>
        </c:dLbls>
        <c:gapWidth val="182"/>
        <c:axId val="1513553327"/>
        <c:axId val="1513554575"/>
      </c:barChart>
      <c:catAx>
        <c:axId val="151355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54575"/>
        <c:crosses val="autoZero"/>
        <c:auto val="1"/>
        <c:lblAlgn val="ctr"/>
        <c:lblOffset val="100"/>
        <c:noMultiLvlLbl val="0"/>
      </c:catAx>
      <c:valAx>
        <c:axId val="1513554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5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Sheet2!$A$4:$A$19</c:f>
              <c:strCache>
                <c:ptCount val="15"/>
                <c:pt idx="0">
                  <c:v>Butter</c:v>
                </c:pt>
                <c:pt idx="1">
                  <c:v>Cheese</c:v>
                </c:pt>
                <c:pt idx="2">
                  <c:v>Chicken</c:v>
                </c:pt>
                <c:pt idx="3">
                  <c:v>Coffee</c:v>
                </c:pt>
                <c:pt idx="4">
                  <c:v>Fish</c:v>
                </c:pt>
                <c:pt idx="5">
                  <c:v>Flour</c:v>
                </c:pt>
                <c:pt idx="6">
                  <c:v>Milk</c:v>
                </c:pt>
                <c:pt idx="7">
                  <c:v>Oil</c:v>
                </c:pt>
                <c:pt idx="8">
                  <c:v>Onion</c:v>
                </c:pt>
                <c:pt idx="9">
                  <c:v>Potato</c:v>
                </c:pt>
                <c:pt idx="10">
                  <c:v>Rice</c:v>
                </c:pt>
                <c:pt idx="11">
                  <c:v>Soft Drink</c:v>
                </c:pt>
                <c:pt idx="12">
                  <c:v>Sugar</c:v>
                </c:pt>
                <c:pt idx="13">
                  <c:v>Tea</c:v>
                </c:pt>
                <c:pt idx="14">
                  <c:v>Tomato</c:v>
                </c:pt>
              </c:strCache>
            </c:strRef>
          </c:cat>
          <c:val>
            <c:numRef>
              <c:f>Sheet2!$B$4:$B$19</c:f>
              <c:numCache>
                <c:formatCode>General</c:formatCode>
                <c:ptCount val="15"/>
                <c:pt idx="0">
                  <c:v>36400</c:v>
                </c:pt>
                <c:pt idx="1">
                  <c:v>40500</c:v>
                </c:pt>
                <c:pt idx="2">
                  <c:v>89790</c:v>
                </c:pt>
                <c:pt idx="3">
                  <c:v>35000</c:v>
                </c:pt>
                <c:pt idx="4">
                  <c:v>28000</c:v>
                </c:pt>
                <c:pt idx="5">
                  <c:v>17010</c:v>
                </c:pt>
                <c:pt idx="6">
                  <c:v>28080</c:v>
                </c:pt>
                <c:pt idx="7">
                  <c:v>36950</c:v>
                </c:pt>
                <c:pt idx="8">
                  <c:v>12440</c:v>
                </c:pt>
                <c:pt idx="9">
                  <c:v>7000</c:v>
                </c:pt>
                <c:pt idx="10">
                  <c:v>45670</c:v>
                </c:pt>
                <c:pt idx="11">
                  <c:v>10500</c:v>
                </c:pt>
                <c:pt idx="12">
                  <c:v>14720</c:v>
                </c:pt>
                <c:pt idx="13">
                  <c:v>33600</c:v>
                </c:pt>
                <c:pt idx="14">
                  <c:v>16740</c:v>
                </c:pt>
              </c:numCache>
            </c:numRef>
          </c:val>
          <c:extLst>
            <c:ext xmlns:c16="http://schemas.microsoft.com/office/drawing/2014/chart" uri="{C3380CC4-5D6E-409C-BE32-E72D297353CC}">
              <c16:uniqueId val="{00000000-59F2-4D1E-93AA-99716A160E74}"/>
            </c:ext>
          </c:extLst>
        </c:ser>
        <c:dLbls>
          <c:showLegendKey val="0"/>
          <c:showVal val="0"/>
          <c:showCatName val="0"/>
          <c:showSerName val="0"/>
          <c:showPercent val="0"/>
          <c:showBubbleSize val="0"/>
        </c:dLbls>
        <c:gapWidth val="182"/>
        <c:axId val="1432890447"/>
        <c:axId val="1432886287"/>
      </c:barChart>
      <c:catAx>
        <c:axId val="143289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886287"/>
        <c:crosses val="autoZero"/>
        <c:auto val="1"/>
        <c:lblAlgn val="ctr"/>
        <c:lblOffset val="100"/>
        <c:noMultiLvlLbl val="0"/>
      </c:catAx>
      <c:valAx>
        <c:axId val="1432886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89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Sheet2!$B$21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5D-49F2-BF1A-CF311F077C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5D-49F2-BF1A-CF311F077C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5D-49F2-BF1A-CF311F077C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5D-49F2-BF1A-CF311F077C7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95D-49F2-BF1A-CF311F077C7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Sheet2!$A$22:$A$27</c:f>
              <c:strCache>
                <c:ptCount val="5"/>
                <c:pt idx="0">
                  <c:v>Beverage</c:v>
                </c:pt>
                <c:pt idx="1">
                  <c:v>Dairy</c:v>
                </c:pt>
                <c:pt idx="2">
                  <c:v>Grocery</c:v>
                </c:pt>
                <c:pt idx="3">
                  <c:v>Meat</c:v>
                </c:pt>
                <c:pt idx="4">
                  <c:v>Vegetable</c:v>
                </c:pt>
              </c:strCache>
            </c:strRef>
          </c:cat>
          <c:val>
            <c:numRef>
              <c:f>Sheet2!$B$22:$B$27</c:f>
              <c:numCache>
                <c:formatCode>General</c:formatCode>
                <c:ptCount val="5"/>
                <c:pt idx="0">
                  <c:v>79100</c:v>
                </c:pt>
                <c:pt idx="1">
                  <c:v>104980</c:v>
                </c:pt>
                <c:pt idx="2">
                  <c:v>114350</c:v>
                </c:pt>
                <c:pt idx="3">
                  <c:v>117790</c:v>
                </c:pt>
                <c:pt idx="4">
                  <c:v>36180</c:v>
                </c:pt>
              </c:numCache>
            </c:numRef>
          </c:val>
          <c:extLst>
            <c:ext xmlns:c16="http://schemas.microsoft.com/office/drawing/2014/chart" uri="{C3380CC4-5D6E-409C-BE32-E72D297353CC}">
              <c16:uniqueId val="{0000000A-E95D-49F2-BF1A-CF311F077C7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[project.xlsx]Sheet2!PivotTable3</c:name>
    <c:fmtId val="3"/>
  </c:pivotSource>
  <c:chart>
    <c:autoTitleDeleted val="1"/>
    <c:pivotFmts>
      <c:pivotFmt>
        <c:idx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Sheet2!$B$31</c:f>
              <c:strCache>
                <c:ptCount val="1"/>
                <c:pt idx="0">
                  <c:v>Total</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noFill/>
            </a:ln>
            <a:effectLst/>
          </c:spPr>
          <c:invertIfNegative val="0"/>
          <c:cat>
            <c:strRef>
              <c:f>Sheet2!$A$32:$A$35</c:f>
              <c:strCache>
                <c:ptCount val="3"/>
                <c:pt idx="0">
                  <c:v>Mumbai</c:v>
                </c:pt>
                <c:pt idx="1">
                  <c:v>Nashik</c:v>
                </c:pt>
                <c:pt idx="2">
                  <c:v>Pune</c:v>
                </c:pt>
              </c:strCache>
            </c:strRef>
          </c:cat>
          <c:val>
            <c:numRef>
              <c:f>Sheet2!$B$32:$B$35</c:f>
              <c:numCache>
                <c:formatCode>General</c:formatCode>
                <c:ptCount val="3"/>
                <c:pt idx="0">
                  <c:v>167690</c:v>
                </c:pt>
                <c:pt idx="1">
                  <c:v>102930</c:v>
                </c:pt>
                <c:pt idx="2">
                  <c:v>181780</c:v>
                </c:pt>
              </c:numCache>
            </c:numRef>
          </c:val>
          <c:extLst>
            <c:ext xmlns:c16="http://schemas.microsoft.com/office/drawing/2014/chart" uri="{C3380CC4-5D6E-409C-BE32-E72D297353CC}">
              <c16:uniqueId val="{00000000-6672-43D4-B023-84D00ACA595F}"/>
            </c:ext>
          </c:extLst>
        </c:ser>
        <c:dLbls>
          <c:showLegendKey val="0"/>
          <c:showVal val="0"/>
          <c:showCatName val="0"/>
          <c:showSerName val="0"/>
          <c:showPercent val="0"/>
          <c:showBubbleSize val="0"/>
        </c:dLbls>
        <c:gapWidth val="219"/>
        <c:overlap val="-27"/>
        <c:axId val="1513549999"/>
        <c:axId val="1513557903"/>
      </c:barChart>
      <c:catAx>
        <c:axId val="151354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57903"/>
        <c:crosses val="autoZero"/>
        <c:auto val="1"/>
        <c:lblAlgn val="ctr"/>
        <c:lblOffset val="100"/>
        <c:noMultiLvlLbl val="0"/>
      </c:catAx>
      <c:valAx>
        <c:axId val="1513557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4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50800" dir="5400000" sx="1000" sy="1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[project.xlsx]Sheet2!PivotTable4</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Sheet2!$B$41</c:f>
              <c:strCache>
                <c:ptCount val="1"/>
                <c:pt idx="0">
                  <c:v>Total</c:v>
                </c:pt>
              </c:strCache>
            </c:strRef>
          </c:tx>
          <c:spPr>
            <a:ln w="28575" cap="rnd">
              <a:solidFill>
                <a:schemeClr val="accent1"/>
              </a:solidFill>
              <a:round/>
            </a:ln>
            <a:effectLst/>
          </c:spPr>
          <c:marker>
            <c:symbol val="none"/>
          </c:marker>
          <c:cat>
            <c:strRef>
              <c:f>Sheet2!$A$42:$A$54</c:f>
              <c:strCache>
                <c:ptCount val="12"/>
                <c:pt idx="0">
                  <c:v>01-01-2026</c:v>
                </c:pt>
                <c:pt idx="1">
                  <c:v>02-01-2026</c:v>
                </c:pt>
                <c:pt idx="2">
                  <c:v>03-01-2026</c:v>
                </c:pt>
                <c:pt idx="3">
                  <c:v>04-01-2026</c:v>
                </c:pt>
                <c:pt idx="4">
                  <c:v>05-01-2026</c:v>
                </c:pt>
                <c:pt idx="5">
                  <c:v>06-01-2026</c:v>
                </c:pt>
                <c:pt idx="6">
                  <c:v>07-01-2026</c:v>
                </c:pt>
                <c:pt idx="7">
                  <c:v>08-01-2026</c:v>
                </c:pt>
                <c:pt idx="8">
                  <c:v>09-01-2026</c:v>
                </c:pt>
                <c:pt idx="9">
                  <c:v>10-01-2026</c:v>
                </c:pt>
                <c:pt idx="10">
                  <c:v>11-01-2026</c:v>
                </c:pt>
                <c:pt idx="11">
                  <c:v>12-01-2026</c:v>
                </c:pt>
              </c:strCache>
            </c:strRef>
          </c:cat>
          <c:val>
            <c:numRef>
              <c:f>Sheet2!$B$42:$B$54</c:f>
              <c:numCache>
                <c:formatCode>General</c:formatCode>
                <c:ptCount val="12"/>
                <c:pt idx="0">
                  <c:v>45550</c:v>
                </c:pt>
                <c:pt idx="1">
                  <c:v>58550</c:v>
                </c:pt>
                <c:pt idx="2">
                  <c:v>27900</c:v>
                </c:pt>
                <c:pt idx="3">
                  <c:v>52350</c:v>
                </c:pt>
                <c:pt idx="4">
                  <c:v>47500</c:v>
                </c:pt>
                <c:pt idx="5">
                  <c:v>43120</c:v>
                </c:pt>
                <c:pt idx="6">
                  <c:v>68600</c:v>
                </c:pt>
                <c:pt idx="7">
                  <c:v>16740</c:v>
                </c:pt>
                <c:pt idx="8">
                  <c:v>21000</c:v>
                </c:pt>
                <c:pt idx="9">
                  <c:v>44520</c:v>
                </c:pt>
                <c:pt idx="10">
                  <c:v>7040</c:v>
                </c:pt>
                <c:pt idx="11">
                  <c:v>19530</c:v>
                </c:pt>
              </c:numCache>
            </c:numRef>
          </c:val>
          <c:smooth val="0"/>
          <c:extLst>
            <c:ext xmlns:c16="http://schemas.microsoft.com/office/drawing/2014/chart" uri="{C3380CC4-5D6E-409C-BE32-E72D297353CC}">
              <c16:uniqueId val="{00000000-D38D-4B77-B1E8-59A8915D06B0}"/>
            </c:ext>
          </c:extLst>
        </c:ser>
        <c:dLbls>
          <c:showLegendKey val="0"/>
          <c:showVal val="0"/>
          <c:showCatName val="0"/>
          <c:showSerName val="0"/>
          <c:showPercent val="0"/>
          <c:showBubbleSize val="0"/>
        </c:dLbls>
        <c:smooth val="0"/>
        <c:axId val="1513593679"/>
        <c:axId val="1513574543"/>
      </c:lineChart>
      <c:catAx>
        <c:axId val="151359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74543"/>
        <c:crosses val="autoZero"/>
        <c:auto val="1"/>
        <c:lblAlgn val="ctr"/>
        <c:lblOffset val="100"/>
        <c:noMultiLvlLbl val="0"/>
      </c:catAx>
      <c:valAx>
        <c:axId val="1513574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93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Sheet2!$B$57</c:f>
              <c:strCache>
                <c:ptCount val="1"/>
                <c:pt idx="0">
                  <c:v>Total</c:v>
                </c:pt>
              </c:strCache>
            </c:strRef>
          </c:tx>
          <c:spPr>
            <a:solidFill>
              <a:schemeClr val="accent1"/>
            </a:solidFill>
            <a:ln>
              <a:noFill/>
            </a:ln>
            <a:effectLst/>
          </c:spPr>
          <c:invertIfNegative val="0"/>
          <c:cat>
            <c:strRef>
              <c:f>Sheet2!$A$58:$A$73</c:f>
              <c:strCache>
                <c:ptCount val="15"/>
                <c:pt idx="0">
                  <c:v>Butter</c:v>
                </c:pt>
                <c:pt idx="1">
                  <c:v>Cheese</c:v>
                </c:pt>
                <c:pt idx="2">
                  <c:v>Chicken</c:v>
                </c:pt>
                <c:pt idx="3">
                  <c:v>Coffee</c:v>
                </c:pt>
                <c:pt idx="4">
                  <c:v>Fish</c:v>
                </c:pt>
                <c:pt idx="5">
                  <c:v>Flour</c:v>
                </c:pt>
                <c:pt idx="6">
                  <c:v>Milk</c:v>
                </c:pt>
                <c:pt idx="7">
                  <c:v>Oil</c:v>
                </c:pt>
                <c:pt idx="8">
                  <c:v>Onion</c:v>
                </c:pt>
                <c:pt idx="9">
                  <c:v>Potato</c:v>
                </c:pt>
                <c:pt idx="10">
                  <c:v>Rice</c:v>
                </c:pt>
                <c:pt idx="11">
                  <c:v>Soft Drink</c:v>
                </c:pt>
                <c:pt idx="12">
                  <c:v>Sugar</c:v>
                </c:pt>
                <c:pt idx="13">
                  <c:v>Tea</c:v>
                </c:pt>
                <c:pt idx="14">
                  <c:v>Tomato</c:v>
                </c:pt>
              </c:strCache>
            </c:strRef>
          </c:cat>
          <c:val>
            <c:numRef>
              <c:f>Sheet2!$B$58:$B$73</c:f>
              <c:numCache>
                <c:formatCode>General</c:formatCode>
                <c:ptCount val="15"/>
                <c:pt idx="0">
                  <c:v>70</c:v>
                </c:pt>
                <c:pt idx="1">
                  <c:v>90</c:v>
                </c:pt>
                <c:pt idx="2">
                  <c:v>400</c:v>
                </c:pt>
                <c:pt idx="3">
                  <c:v>50</c:v>
                </c:pt>
                <c:pt idx="4">
                  <c:v>80</c:v>
                </c:pt>
                <c:pt idx="5">
                  <c:v>400</c:v>
                </c:pt>
                <c:pt idx="6">
                  <c:v>460</c:v>
                </c:pt>
                <c:pt idx="7">
                  <c:v>250</c:v>
                </c:pt>
                <c:pt idx="8">
                  <c:v>400</c:v>
                </c:pt>
                <c:pt idx="9">
                  <c:v>250</c:v>
                </c:pt>
                <c:pt idx="10">
                  <c:v>830</c:v>
                </c:pt>
                <c:pt idx="11">
                  <c:v>300</c:v>
                </c:pt>
                <c:pt idx="12">
                  <c:v>300</c:v>
                </c:pt>
                <c:pt idx="13">
                  <c:v>120</c:v>
                </c:pt>
                <c:pt idx="14">
                  <c:v>430</c:v>
                </c:pt>
              </c:numCache>
            </c:numRef>
          </c:val>
          <c:extLst>
            <c:ext xmlns:c16="http://schemas.microsoft.com/office/drawing/2014/chart" uri="{C3380CC4-5D6E-409C-BE32-E72D297353CC}">
              <c16:uniqueId val="{00000000-1E4A-4835-95FB-444E39708D12}"/>
            </c:ext>
          </c:extLst>
        </c:ser>
        <c:dLbls>
          <c:showLegendKey val="0"/>
          <c:showVal val="0"/>
          <c:showCatName val="0"/>
          <c:showSerName val="0"/>
          <c:showPercent val="0"/>
          <c:showBubbleSize val="0"/>
        </c:dLbls>
        <c:gapWidth val="182"/>
        <c:axId val="1513553327"/>
        <c:axId val="1513554575"/>
      </c:barChart>
      <c:catAx>
        <c:axId val="151355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54575"/>
        <c:crosses val="autoZero"/>
        <c:auto val="1"/>
        <c:lblAlgn val="ctr"/>
        <c:lblOffset val="100"/>
        <c:noMultiLvlLbl val="0"/>
      </c:catAx>
      <c:valAx>
        <c:axId val="1513554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5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571500</xdr:colOff>
      <xdr:row>1</xdr:row>
      <xdr:rowOff>176212</xdr:rowOff>
    </xdr:from>
    <xdr:to>
      <xdr:col>10</xdr:col>
      <xdr:colOff>238125</xdr:colOff>
      <xdr:row>15</xdr:row>
      <xdr:rowOff>95250</xdr:rowOff>
    </xdr:to>
    <xdr:graphicFrame macro="">
      <xdr:nvGraphicFramePr>
        <xdr:cNvPr id="2" name="Chart 1">
          <a:extLst>
            <a:ext uri="{FF2B5EF4-FFF2-40B4-BE49-F238E27FC236}">
              <a16:creationId xmlns:a16="http://schemas.microsoft.com/office/drawing/2014/main" id="{CC1809FE-A32C-4993-B04E-76CE2109E8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647700</xdr:colOff>
      <xdr:row>18</xdr:row>
      <xdr:rowOff>100012</xdr:rowOff>
    </xdr:from>
    <xdr:to>
      <xdr:col>7</xdr:col>
      <xdr:colOff>533400</xdr:colOff>
      <xdr:row>29</xdr:row>
      <xdr:rowOff>38100</xdr:rowOff>
    </xdr:to>
    <xdr:graphicFrame macro="">
      <xdr:nvGraphicFramePr>
        <xdr:cNvPr id="3" name="Chart 2">
          <a:extLst>
            <a:ext uri="{FF2B5EF4-FFF2-40B4-BE49-F238E27FC236}">
              <a16:creationId xmlns:a16="http://schemas.microsoft.com/office/drawing/2014/main" id="{98B6C198-CD0D-4790-BB4B-82D38AFC8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790575</xdr:colOff>
      <xdr:row>29</xdr:row>
      <xdr:rowOff>76201</xdr:rowOff>
    </xdr:from>
    <xdr:to>
      <xdr:col>7</xdr:col>
      <xdr:colOff>409575</xdr:colOff>
      <xdr:row>39</xdr:row>
      <xdr:rowOff>180975</xdr:rowOff>
    </xdr:to>
    <xdr:graphicFrame macro="">
      <xdr:nvGraphicFramePr>
        <xdr:cNvPr id="4" name="Chart 3">
          <a:extLst>
            <a:ext uri="{FF2B5EF4-FFF2-40B4-BE49-F238E27FC236}">
              <a16:creationId xmlns:a16="http://schemas.microsoft.com/office/drawing/2014/main" id="{8CF7165B-36C0-44DC-A619-3AAC9F9AD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352425</xdr:colOff>
      <xdr:row>39</xdr:row>
      <xdr:rowOff>90487</xdr:rowOff>
    </xdr:from>
    <xdr:to>
      <xdr:col>9</xdr:col>
      <xdr:colOff>171450</xdr:colOff>
      <xdr:row>53</xdr:row>
      <xdr:rowOff>166687</xdr:rowOff>
    </xdr:to>
    <xdr:graphicFrame macro="">
      <xdr:nvGraphicFramePr>
        <xdr:cNvPr id="5" name="Chart 4">
          <a:extLst>
            <a:ext uri="{FF2B5EF4-FFF2-40B4-BE49-F238E27FC236}">
              <a16:creationId xmlns:a16="http://schemas.microsoft.com/office/drawing/2014/main" id="{633795EA-62E5-4CF0-8556-8E1C53ACE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766762</xdr:colOff>
      <xdr:row>55</xdr:row>
      <xdr:rowOff>128587</xdr:rowOff>
    </xdr:from>
    <xdr:to>
      <xdr:col>9</xdr:col>
      <xdr:colOff>585787</xdr:colOff>
      <xdr:row>70</xdr:row>
      <xdr:rowOff>14287</xdr:rowOff>
    </xdr:to>
    <xdr:graphicFrame macro="">
      <xdr:nvGraphicFramePr>
        <xdr:cNvPr id="7" name="Chart 6">
          <a:extLst>
            <a:ext uri="{FF2B5EF4-FFF2-40B4-BE49-F238E27FC236}">
              <a16:creationId xmlns:a16="http://schemas.microsoft.com/office/drawing/2014/main" id="{1E1AE8B3-7765-40D4-B209-34616BEEE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190500</xdr:colOff>
      <xdr:row>40</xdr:row>
      <xdr:rowOff>104775</xdr:rowOff>
    </xdr:from>
    <xdr:to>
      <xdr:col>15</xdr:col>
      <xdr:colOff>190500</xdr:colOff>
      <xdr:row>53</xdr:row>
      <xdr:rowOff>152400</xdr:rowOff>
    </xdr:to>
    <mc:AlternateContent xmlns:mc="http://schemas.openxmlformats.org/markup-compatibility/2006">
      <mc:Choice xmlns:a14="http://schemas.microsoft.com/office/drawing/2010/main" Requires="a14">
        <xdr:graphicFrame macro="">
          <xdr:nvGraphicFramePr>
            <xdr:cNvPr id="8" name="Outlet">
              <a:extLst>
                <a:ext uri="{FF2B5EF4-FFF2-40B4-BE49-F238E27FC236}">
                  <a16:creationId xmlns:a16="http://schemas.microsoft.com/office/drawing/2014/main" id="{D07F2EB1-CEA3-4797-BB22-B8155A677F47}"/>
                </a:ext>
              </a:extLst>
            </xdr:cNvPr>
            <xdr:cNvGraphicFramePr/>
          </xdr:nvGraphicFramePr>
          <xdr:xfrm>
            <a:off x="0" y="0"/>
            <a:ext cx="0" cy="0"/>
          </xdr:xfrm>
          <a:graphic>
            <a:graphicData uri="http://schemas.microsoft.com/office/drawing/2010/slicer">
              <sle:slicer xmlns:sle="http://schemas.microsoft.com/office/drawing/2010/slicer" name="Outlet"/>
            </a:graphicData>
          </a:graphic>
        </xdr:graphicFrame>
      </mc:Choice>
      <mc:Fallback>
        <xdr:sp macro="" textlink="">
          <xdr:nvSpPr>
            <xdr:cNvPr id="0" name=""/>
            <xdr:cNvSpPr>
              <a:spLocks noTextEdit="1"/>
            </xdr:cNvSpPr>
          </xdr:nvSpPr>
          <xdr:spPr>
            <a:xfrm>
              <a:off x="8362950" y="7724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285750</xdr:colOff>
      <xdr:row>40</xdr:row>
      <xdr:rowOff>133350</xdr:rowOff>
    </xdr:from>
    <xdr:to>
      <xdr:col>18</xdr:col>
      <xdr:colOff>285750</xdr:colOff>
      <xdr:row>53</xdr:row>
      <xdr:rowOff>180975</xdr:rowOff>
    </xdr:to>
    <mc:AlternateContent xmlns:mc="http://schemas.openxmlformats.org/markup-compatibility/2006">
      <mc:Choice xmlns:a14="http://schemas.microsoft.com/office/drawing/2010/main" Requires="a14">
        <xdr:graphicFrame macro="">
          <xdr:nvGraphicFramePr>
            <xdr:cNvPr id="9" name="Item">
              <a:extLst>
                <a:ext uri="{FF2B5EF4-FFF2-40B4-BE49-F238E27FC236}">
                  <a16:creationId xmlns:a16="http://schemas.microsoft.com/office/drawing/2014/main" id="{3453806E-0511-4EB1-A4D9-D7883F7211A6}"/>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10287000" y="7753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152400</xdr:colOff>
      <xdr:row>13</xdr:row>
      <xdr:rowOff>109538</xdr:rowOff>
    </xdr:to>
    <xdr:graphicFrame macro="">
      <xdr:nvGraphicFramePr>
        <xdr:cNvPr id="2" name="Chart 1">
          <a:extLst>
            <a:ext uri="{FF2B5EF4-FFF2-40B4-BE49-F238E27FC236}">
              <a16:creationId xmlns:a16="http://schemas.microsoft.com/office/drawing/2014/main" id="{01AF1B9E-E0B1-4CA3-85CF-98E8D91EB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0</xdr:row>
      <xdr:rowOff>0</xdr:rowOff>
    </xdr:from>
    <xdr:to>
      <xdr:col>14</xdr:col>
      <xdr:colOff>371475</xdr:colOff>
      <xdr:row>10</xdr:row>
      <xdr:rowOff>128588</xdr:rowOff>
    </xdr:to>
    <xdr:graphicFrame macro="">
      <xdr:nvGraphicFramePr>
        <xdr:cNvPr id="3" name="Chart 2">
          <a:extLst>
            <a:ext uri="{FF2B5EF4-FFF2-40B4-BE49-F238E27FC236}">
              <a16:creationId xmlns:a16="http://schemas.microsoft.com/office/drawing/2014/main" id="{9492DB09-7703-4555-BAE7-8E987D683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5</xdr:col>
      <xdr:colOff>104775</xdr:colOff>
      <xdr:row>26</xdr:row>
      <xdr:rowOff>104774</xdr:rowOff>
    </xdr:to>
    <xdr:graphicFrame macro="">
      <xdr:nvGraphicFramePr>
        <xdr:cNvPr id="4" name="Chart 3">
          <a:extLst>
            <a:ext uri="{FF2B5EF4-FFF2-40B4-BE49-F238E27FC236}">
              <a16:creationId xmlns:a16="http://schemas.microsoft.com/office/drawing/2014/main" id="{51CFCA0D-2DE5-4D11-82FE-8CA2467F5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16</xdr:row>
      <xdr:rowOff>0</xdr:rowOff>
    </xdr:from>
    <xdr:to>
      <xdr:col>13</xdr:col>
      <xdr:colOff>304800</xdr:colOff>
      <xdr:row>30</xdr:row>
      <xdr:rowOff>76200</xdr:rowOff>
    </xdr:to>
    <xdr:graphicFrame macro="">
      <xdr:nvGraphicFramePr>
        <xdr:cNvPr id="5" name="Chart 4">
          <a:extLst>
            <a:ext uri="{FF2B5EF4-FFF2-40B4-BE49-F238E27FC236}">
              <a16:creationId xmlns:a16="http://schemas.microsoft.com/office/drawing/2014/main" id="{7A644117-A171-497E-A7F3-217999D3B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12</xdr:row>
      <xdr:rowOff>0</xdr:rowOff>
    </xdr:from>
    <xdr:to>
      <xdr:col>21</xdr:col>
      <xdr:colOff>304800</xdr:colOff>
      <xdr:row>26</xdr:row>
      <xdr:rowOff>76200</xdr:rowOff>
    </xdr:to>
    <xdr:graphicFrame macro="">
      <xdr:nvGraphicFramePr>
        <xdr:cNvPr id="6" name="Chart 5">
          <a:extLst>
            <a:ext uri="{FF2B5EF4-FFF2-40B4-BE49-F238E27FC236}">
              <a16:creationId xmlns:a16="http://schemas.microsoft.com/office/drawing/2014/main" id="{575F3438-D912-47DA-B0B9-35FBC36A2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163287</xdr:colOff>
      <xdr:row>4</xdr:row>
      <xdr:rowOff>68036</xdr:rowOff>
    </xdr:from>
    <xdr:to>
      <xdr:col>27</xdr:col>
      <xdr:colOff>155122</xdr:colOff>
      <xdr:row>17</xdr:row>
      <xdr:rowOff>115661</xdr:rowOff>
    </xdr:to>
    <mc:AlternateContent xmlns:mc="http://schemas.openxmlformats.org/markup-compatibility/2006">
      <mc:Choice xmlns:a14="http://schemas.microsoft.com/office/drawing/2010/main" Requires="a14">
        <xdr:graphicFrame macro="">
          <xdr:nvGraphicFramePr>
            <xdr:cNvPr id="7" name="Outlet 1">
              <a:extLst>
                <a:ext uri="{FF2B5EF4-FFF2-40B4-BE49-F238E27FC236}">
                  <a16:creationId xmlns:a16="http://schemas.microsoft.com/office/drawing/2014/main" id="{AE1988FD-EC2B-4201-A580-C5773FF3EBE0}"/>
                </a:ext>
              </a:extLst>
            </xdr:cNvPr>
            <xdr:cNvGraphicFramePr/>
          </xdr:nvGraphicFramePr>
          <xdr:xfrm>
            <a:off x="0" y="0"/>
            <a:ext cx="0" cy="0"/>
          </xdr:xfrm>
          <a:graphic>
            <a:graphicData uri="http://schemas.microsoft.com/office/drawing/2010/slicer">
              <sle:slicer xmlns:sle="http://schemas.microsoft.com/office/drawing/2010/slicer" name="Outlet 1"/>
            </a:graphicData>
          </a:graphic>
        </xdr:graphicFrame>
      </mc:Choice>
      <mc:Fallback>
        <xdr:sp macro="" textlink="">
          <xdr:nvSpPr>
            <xdr:cNvPr id="0" name=""/>
            <xdr:cNvSpPr>
              <a:spLocks noTextEdit="1"/>
            </xdr:cNvSpPr>
          </xdr:nvSpPr>
          <xdr:spPr>
            <a:xfrm>
              <a:off x="14859001" y="83003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95250</xdr:colOff>
      <xdr:row>4</xdr:row>
      <xdr:rowOff>40821</xdr:rowOff>
    </xdr:from>
    <xdr:to>
      <xdr:col>24</xdr:col>
      <xdr:colOff>87086</xdr:colOff>
      <xdr:row>17</xdr:row>
      <xdr:rowOff>88446</xdr:rowOff>
    </xdr:to>
    <mc:AlternateContent xmlns:mc="http://schemas.openxmlformats.org/markup-compatibility/2006">
      <mc:Choice xmlns:a14="http://schemas.microsoft.com/office/drawing/2010/main" Requires="a14">
        <xdr:graphicFrame macro="">
          <xdr:nvGraphicFramePr>
            <xdr:cNvPr id="9" name="Item 2">
              <a:extLst>
                <a:ext uri="{FF2B5EF4-FFF2-40B4-BE49-F238E27FC236}">
                  <a16:creationId xmlns:a16="http://schemas.microsoft.com/office/drawing/2014/main" id="{E7A78441-F922-4E76-8D7F-28C485510204}"/>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dr:sp macro="" textlink="">
          <xdr:nvSpPr>
            <xdr:cNvPr id="0" name=""/>
            <xdr:cNvSpPr>
              <a:spLocks noTextEdit="1"/>
            </xdr:cNvSpPr>
          </xdr:nvSpPr>
          <xdr:spPr>
            <a:xfrm>
              <a:off x="12954000" y="80282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1.848807523151" createdVersion="7" refreshedVersion="7" minRefreshableVersion="3" recordCount="25" xr:uid="{8086DF6A-B910-4BB8-8CE0-3AF2BB82B511}">
  <cacheSource type="worksheet">
    <worksheetSource ref="B2:H27" sheet="Sheet1"/>
  </cacheSource>
  <cacheFields count="7">
    <cacheField name="Date" numFmtId="14">
      <sharedItems containsSemiMixedTypes="0" containsNonDate="0" containsDate="1" containsString="0" minDate="2026-01-01T00:00:00" maxDate="2026-01-13T00:00:00" count="12">
        <d v="2026-01-01T00:00:00"/>
        <d v="2026-01-02T00:00:00"/>
        <d v="2026-01-03T00:00:00"/>
        <d v="2026-01-04T00:00:00"/>
        <d v="2026-01-05T00:00:00"/>
        <d v="2026-01-06T00:00:00"/>
        <d v="2026-01-07T00:00:00"/>
        <d v="2026-01-08T00:00:00"/>
        <d v="2026-01-09T00:00:00"/>
        <d v="2026-01-10T00:00:00"/>
        <d v="2026-01-11T00:00:00"/>
        <d v="2026-01-12T00:00:00"/>
      </sharedItems>
    </cacheField>
    <cacheField name="Outlet" numFmtId="0">
      <sharedItems count="3">
        <s v="Pune"/>
        <s v="Mumbai"/>
        <s v="Nashik"/>
      </sharedItems>
    </cacheField>
    <cacheField name="Category" numFmtId="0">
      <sharedItems count="5">
        <s v="Meat"/>
        <s v="Grocery"/>
        <s v="Vegetable"/>
        <s v="Dairy"/>
        <s v="Beverage"/>
      </sharedItems>
    </cacheField>
    <cacheField name="Item" numFmtId="0">
      <sharedItems count="15">
        <s v="Chicken"/>
        <s v="Rice"/>
        <s v="Onion"/>
        <s v="Tomato"/>
        <s v="Milk"/>
        <s v="Sugar"/>
        <s v="Flour"/>
        <s v="Butter"/>
        <s v="Oil"/>
        <s v="Potato"/>
        <s v="Cheese"/>
        <s v="Fish"/>
        <s v="Coffee"/>
        <s v="Tea"/>
        <s v="Soft Drink"/>
      </sharedItems>
    </cacheField>
    <cacheField name="Qty" numFmtId="43">
      <sharedItems containsSemiMixedTypes="0" containsString="0" containsNumber="1" containsInteger="1" minValue="50" maxValue="300"/>
    </cacheField>
    <cacheField name="Unit Cost" numFmtId="43">
      <sharedItems containsSemiMixedTypes="0" containsString="0" containsNumber="1" containsInteger="1" minValue="28" maxValue="700"/>
    </cacheField>
    <cacheField name="Total Cost" numFmtId="43">
      <sharedItems containsSemiMixedTypes="0" containsString="0" containsNumber="1" containsInteger="1" minValue="5400" maxValue="40500" count="24">
        <n v="26400"/>
        <n v="13750"/>
        <n v="5400"/>
        <n v="33750"/>
        <n v="16800"/>
        <n v="8000"/>
        <n v="13200"/>
        <n v="6720"/>
        <n v="7980"/>
        <n v="36400"/>
        <n v="15950"/>
        <n v="7000"/>
        <n v="40500"/>
        <n v="28000"/>
        <n v="15120"/>
        <n v="35000"/>
        <n v="33600"/>
        <n v="8740"/>
        <n v="21000"/>
        <n v="14880"/>
        <n v="29640"/>
        <n v="7040"/>
        <n v="9030"/>
        <n v="10500"/>
      </sharedItems>
    </cacheField>
  </cacheFields>
  <extLst>
    <ext xmlns:x14="http://schemas.microsoft.com/office/spreadsheetml/2009/9/main" uri="{725AE2AE-9491-48be-B2B4-4EB974FC3084}">
      <x14:pivotCacheDefinition pivotCacheId="783725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x v="0"/>
    <n v="120"/>
    <n v="220"/>
    <x v="0"/>
  </r>
  <r>
    <x v="0"/>
    <x v="0"/>
    <x v="1"/>
    <x v="1"/>
    <n v="250"/>
    <n v="55"/>
    <x v="1"/>
  </r>
  <r>
    <x v="0"/>
    <x v="0"/>
    <x v="2"/>
    <x v="2"/>
    <n v="180"/>
    <n v="30"/>
    <x v="2"/>
  </r>
  <r>
    <x v="1"/>
    <x v="1"/>
    <x v="0"/>
    <x v="0"/>
    <n v="150"/>
    <n v="225"/>
    <x v="3"/>
  </r>
  <r>
    <x v="1"/>
    <x v="1"/>
    <x v="1"/>
    <x v="1"/>
    <n v="300"/>
    <n v="56"/>
    <x v="4"/>
  </r>
  <r>
    <x v="1"/>
    <x v="1"/>
    <x v="2"/>
    <x v="3"/>
    <n v="200"/>
    <n v="40"/>
    <x v="5"/>
  </r>
  <r>
    <x v="2"/>
    <x v="2"/>
    <x v="3"/>
    <x v="4"/>
    <n v="220"/>
    <n v="60"/>
    <x v="6"/>
  </r>
  <r>
    <x v="2"/>
    <x v="2"/>
    <x v="1"/>
    <x v="5"/>
    <n v="140"/>
    <n v="48"/>
    <x v="7"/>
  </r>
  <r>
    <x v="2"/>
    <x v="2"/>
    <x v="1"/>
    <x v="6"/>
    <n v="190"/>
    <n v="42"/>
    <x v="8"/>
  </r>
  <r>
    <x v="3"/>
    <x v="0"/>
    <x v="3"/>
    <x v="7"/>
    <n v="70"/>
    <n v="520"/>
    <x v="9"/>
  </r>
  <r>
    <x v="3"/>
    <x v="0"/>
    <x v="1"/>
    <x v="8"/>
    <n v="110"/>
    <n v="145"/>
    <x v="10"/>
  </r>
  <r>
    <x v="4"/>
    <x v="1"/>
    <x v="2"/>
    <x v="9"/>
    <n v="250"/>
    <n v="28"/>
    <x v="11"/>
  </r>
  <r>
    <x v="4"/>
    <x v="1"/>
    <x v="3"/>
    <x v="10"/>
    <n v="90"/>
    <n v="450"/>
    <x v="12"/>
  </r>
  <r>
    <x v="5"/>
    <x v="2"/>
    <x v="0"/>
    <x v="11"/>
    <n v="80"/>
    <n v="350"/>
    <x v="13"/>
  </r>
  <r>
    <x v="5"/>
    <x v="2"/>
    <x v="1"/>
    <x v="1"/>
    <n v="280"/>
    <n v="54"/>
    <x v="14"/>
  </r>
  <r>
    <x v="6"/>
    <x v="0"/>
    <x v="4"/>
    <x v="12"/>
    <n v="50"/>
    <n v="700"/>
    <x v="15"/>
  </r>
  <r>
    <x v="6"/>
    <x v="1"/>
    <x v="4"/>
    <x v="13"/>
    <n v="120"/>
    <n v="280"/>
    <x v="16"/>
  </r>
  <r>
    <x v="7"/>
    <x v="2"/>
    <x v="1"/>
    <x v="5"/>
    <n v="160"/>
    <n v="50"/>
    <x v="5"/>
  </r>
  <r>
    <x v="7"/>
    <x v="0"/>
    <x v="2"/>
    <x v="3"/>
    <n v="230"/>
    <n v="38"/>
    <x v="17"/>
  </r>
  <r>
    <x v="8"/>
    <x v="1"/>
    <x v="1"/>
    <x v="8"/>
    <n v="140"/>
    <n v="150"/>
    <x v="18"/>
  </r>
  <r>
    <x v="9"/>
    <x v="2"/>
    <x v="3"/>
    <x v="4"/>
    <n v="240"/>
    <n v="62"/>
    <x v="19"/>
  </r>
  <r>
    <x v="9"/>
    <x v="0"/>
    <x v="0"/>
    <x v="0"/>
    <n v="130"/>
    <n v="228"/>
    <x v="20"/>
  </r>
  <r>
    <x v="10"/>
    <x v="1"/>
    <x v="2"/>
    <x v="2"/>
    <n v="220"/>
    <n v="32"/>
    <x v="21"/>
  </r>
  <r>
    <x v="11"/>
    <x v="2"/>
    <x v="1"/>
    <x v="6"/>
    <n v="210"/>
    <n v="43"/>
    <x v="22"/>
  </r>
  <r>
    <x v="11"/>
    <x v="0"/>
    <x v="4"/>
    <x v="14"/>
    <n v="300"/>
    <n v="35"/>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44750B-B6A8-41F6-90E9-F3F9A5D1C877}"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57:B73" firstHeaderRow="1" firstDataRow="1" firstDataCol="1"/>
  <pivotFields count="7">
    <pivotField numFmtId="14" showAll="0">
      <items count="13">
        <item x="0"/>
        <item x="1"/>
        <item x="2"/>
        <item x="3"/>
        <item x="4"/>
        <item x="5"/>
        <item x="6"/>
        <item x="7"/>
        <item x="8"/>
        <item x="9"/>
        <item x="10"/>
        <item x="11"/>
        <item t="default"/>
      </items>
    </pivotField>
    <pivotField showAll="0">
      <items count="4">
        <item x="1"/>
        <item x="2"/>
        <item x="0"/>
        <item t="default"/>
      </items>
    </pivotField>
    <pivotField showAll="0">
      <items count="6">
        <item x="4"/>
        <item x="3"/>
        <item x="1"/>
        <item x="0"/>
        <item x="2"/>
        <item t="default"/>
      </items>
    </pivotField>
    <pivotField axis="axisRow" showAll="0">
      <items count="16">
        <item x="7"/>
        <item x="10"/>
        <item x="0"/>
        <item x="12"/>
        <item x="11"/>
        <item x="6"/>
        <item x="4"/>
        <item x="8"/>
        <item x="2"/>
        <item x="9"/>
        <item x="1"/>
        <item x="14"/>
        <item x="5"/>
        <item x="13"/>
        <item x="3"/>
        <item t="default"/>
      </items>
    </pivotField>
    <pivotField dataField="1" numFmtId="43" showAll="0"/>
    <pivotField numFmtId="43" showAll="0"/>
    <pivotField numFmtId="43"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Qty" fld="4"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79083F-803D-427C-8600-97BE7D728FCE}" name="PivotTable4"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41:B54" firstHeaderRow="1" firstDataRow="1" firstDataCol="1"/>
  <pivotFields count="7">
    <pivotField axis="axisRow" numFmtId="14" showAll="0">
      <items count="13">
        <item x="0"/>
        <item x="1"/>
        <item x="2"/>
        <item x="3"/>
        <item x="4"/>
        <item x="5"/>
        <item x="6"/>
        <item x="7"/>
        <item x="8"/>
        <item x="9"/>
        <item x="10"/>
        <item x="11"/>
        <item t="default"/>
      </items>
    </pivotField>
    <pivotField showAll="0">
      <items count="4">
        <item x="1"/>
        <item x="2"/>
        <item x="0"/>
        <item t="default"/>
      </items>
    </pivotField>
    <pivotField showAll="0">
      <items count="6">
        <item x="4"/>
        <item x="3"/>
        <item x="1"/>
        <item x="0"/>
        <item x="2"/>
        <item t="default"/>
      </items>
    </pivotField>
    <pivotField showAll="0">
      <items count="16">
        <item x="7"/>
        <item x="10"/>
        <item x="0"/>
        <item x="12"/>
        <item x="11"/>
        <item x="6"/>
        <item x="4"/>
        <item x="8"/>
        <item x="2"/>
        <item x="9"/>
        <item x="1"/>
        <item x="14"/>
        <item x="5"/>
        <item x="13"/>
        <item x="3"/>
        <item t="default"/>
      </items>
    </pivotField>
    <pivotField numFmtId="43" showAll="0"/>
    <pivotField numFmtId="43" showAll="0"/>
    <pivotField dataField="1" numFmtId="43" showAll="0">
      <items count="25">
        <item x="2"/>
        <item x="7"/>
        <item x="11"/>
        <item x="21"/>
        <item x="8"/>
        <item x="5"/>
        <item x="17"/>
        <item x="22"/>
        <item x="23"/>
        <item x="6"/>
        <item x="1"/>
        <item x="19"/>
        <item x="14"/>
        <item x="10"/>
        <item x="4"/>
        <item x="18"/>
        <item x="0"/>
        <item x="13"/>
        <item x="20"/>
        <item x="16"/>
        <item x="3"/>
        <item x="15"/>
        <item x="9"/>
        <item x="12"/>
        <item t="default"/>
      </items>
    </pivotField>
  </pivotFields>
  <rowFields count="1">
    <field x="0"/>
  </rowFields>
  <rowItems count="13">
    <i>
      <x/>
    </i>
    <i>
      <x v="1"/>
    </i>
    <i>
      <x v="2"/>
    </i>
    <i>
      <x v="3"/>
    </i>
    <i>
      <x v="4"/>
    </i>
    <i>
      <x v="5"/>
    </i>
    <i>
      <x v="6"/>
    </i>
    <i>
      <x v="7"/>
    </i>
    <i>
      <x v="8"/>
    </i>
    <i>
      <x v="9"/>
    </i>
    <i>
      <x v="10"/>
    </i>
    <i>
      <x v="11"/>
    </i>
    <i t="grand">
      <x/>
    </i>
  </rowItems>
  <colItems count="1">
    <i/>
  </colItems>
  <dataFields count="1">
    <dataField name="Sum of Total Cost" fld="6"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4256D4-F8ED-4EDA-AB50-5B32C06FC4E3}"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1:B35" firstHeaderRow="1" firstDataRow="1" firstDataCol="1"/>
  <pivotFields count="7">
    <pivotField numFmtId="14" showAll="0"/>
    <pivotField axis="axisRow" showAll="0">
      <items count="4">
        <item x="1"/>
        <item x="2"/>
        <item x="0"/>
        <item t="default"/>
      </items>
    </pivotField>
    <pivotField showAll="0">
      <items count="6">
        <item x="4"/>
        <item x="3"/>
        <item x="1"/>
        <item x="0"/>
        <item x="2"/>
        <item t="default"/>
      </items>
    </pivotField>
    <pivotField showAll="0">
      <items count="16">
        <item x="7"/>
        <item x="10"/>
        <item x="0"/>
        <item x="12"/>
        <item x="11"/>
        <item x="6"/>
        <item x="4"/>
        <item x="8"/>
        <item x="2"/>
        <item x="9"/>
        <item x="1"/>
        <item x="14"/>
        <item x="5"/>
        <item x="13"/>
        <item x="3"/>
        <item t="default"/>
      </items>
    </pivotField>
    <pivotField numFmtId="43" showAll="0"/>
    <pivotField numFmtId="43" showAll="0"/>
    <pivotField dataField="1" numFmtId="43" showAll="0"/>
  </pivotFields>
  <rowFields count="1">
    <field x="1"/>
  </rowFields>
  <rowItems count="4">
    <i>
      <x/>
    </i>
    <i>
      <x v="1"/>
    </i>
    <i>
      <x v="2"/>
    </i>
    <i t="grand">
      <x/>
    </i>
  </rowItems>
  <colItems count="1">
    <i/>
  </colItems>
  <dataFields count="1">
    <dataField name="Sum of Total Cost" fld="6"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066BB5-D4FD-42D5-85D1-88FA94B8A0D4}"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1:B27" firstHeaderRow="1" firstDataRow="1" firstDataCol="1"/>
  <pivotFields count="7">
    <pivotField numFmtId="14" showAll="0"/>
    <pivotField showAll="0">
      <items count="4">
        <item x="1"/>
        <item x="2"/>
        <item x="0"/>
        <item t="default"/>
      </items>
    </pivotField>
    <pivotField axis="axisRow" showAll="0">
      <items count="6">
        <item x="4"/>
        <item x="3"/>
        <item x="1"/>
        <item x="0"/>
        <item x="2"/>
        <item t="default"/>
      </items>
    </pivotField>
    <pivotField showAll="0">
      <items count="16">
        <item x="7"/>
        <item x="10"/>
        <item x="0"/>
        <item x="12"/>
        <item x="11"/>
        <item x="6"/>
        <item x="4"/>
        <item x="8"/>
        <item x="2"/>
        <item x="9"/>
        <item x="1"/>
        <item x="14"/>
        <item x="5"/>
        <item x="13"/>
        <item x="3"/>
        <item t="default"/>
      </items>
    </pivotField>
    <pivotField numFmtId="43" showAll="0"/>
    <pivotField numFmtId="43" showAll="0"/>
    <pivotField dataField="1" numFmtId="43" showAll="0"/>
  </pivotFields>
  <rowFields count="1">
    <field x="2"/>
  </rowFields>
  <rowItems count="6">
    <i>
      <x/>
    </i>
    <i>
      <x v="1"/>
    </i>
    <i>
      <x v="2"/>
    </i>
    <i>
      <x v="3"/>
    </i>
    <i>
      <x v="4"/>
    </i>
    <i t="grand">
      <x/>
    </i>
  </rowItems>
  <colItems count="1">
    <i/>
  </colItems>
  <dataFields count="1">
    <dataField name="Sum of Total Cost" fld="6" baseField="0"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523591-A670-4929-8915-BF86BEE8B6F1}"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9" firstHeaderRow="1" firstDataRow="1" firstDataCol="1"/>
  <pivotFields count="7">
    <pivotField numFmtId="14" showAll="0"/>
    <pivotField showAll="0">
      <items count="4">
        <item x="1"/>
        <item x="2"/>
        <item x="0"/>
        <item t="default"/>
      </items>
    </pivotField>
    <pivotField showAll="0"/>
    <pivotField axis="axisRow" showAll="0">
      <items count="16">
        <item x="7"/>
        <item x="10"/>
        <item x="0"/>
        <item x="12"/>
        <item x="11"/>
        <item x="6"/>
        <item x="4"/>
        <item x="8"/>
        <item x="2"/>
        <item x="9"/>
        <item x="1"/>
        <item x="14"/>
        <item x="5"/>
        <item x="13"/>
        <item x="3"/>
        <item t="default"/>
      </items>
    </pivotField>
    <pivotField numFmtId="43" showAll="0"/>
    <pivotField numFmtId="43" showAll="0"/>
    <pivotField dataField="1" numFmtId="43"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Total Cost"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 xr10:uid="{88E7E13E-270F-402F-85C7-4B2240EAA092}" sourceName="Outlet">
  <pivotTables>
    <pivotTable tabId="2" name="PivotTable4"/>
    <pivotTable tabId="2" name="PivotTable1"/>
    <pivotTable tabId="2" name="PivotTable2"/>
    <pivotTable tabId="2" name="PivotTable3"/>
    <pivotTable tabId="2" name="PivotTable5"/>
  </pivotTables>
  <data>
    <tabular pivotCacheId="78372580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4C81035D-3DD3-4C8D-ACFF-AFC949A1FEA5}" sourceName="Item">
  <pivotTables>
    <pivotTable tabId="2" name="PivotTable4"/>
    <pivotTable tabId="2" name="PivotTable1"/>
    <pivotTable tabId="2" name="PivotTable2"/>
    <pivotTable tabId="2" name="PivotTable3"/>
    <pivotTable tabId="2" name="PivotTable5"/>
  </pivotTables>
  <data>
    <tabular pivotCacheId="783725800">
      <items count="15">
        <i x="7" s="1"/>
        <i x="10" s="1"/>
        <i x="0" s="1"/>
        <i x="12" s="1"/>
        <i x="11" s="1"/>
        <i x="6" s="1"/>
        <i x="4" s="1"/>
        <i x="8" s="1"/>
        <i x="2" s="1"/>
        <i x="9" s="1"/>
        <i x="1" s="1"/>
        <i x="14" s="1"/>
        <i x="5" s="1"/>
        <i x="13"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xr10:uid="{E55B9F19-1BA7-4E69-A980-E313F92515AD}" cache="Slicer_Outlet" caption="Outlet" rowHeight="241300"/>
  <slicer name="Item" xr10:uid="{46D73E45-8CF2-4947-AA76-93E7B9EAA415}" cache="Slicer_Item" caption="Item"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1" xr10:uid="{F093297B-9724-4E26-9121-FF9286C93DE3}" cache="Slicer_Outlet" caption="Outlet" rowHeight="241300"/>
  <slicer name="Item 2" xr10:uid="{8D0B366D-A908-4061-A6B9-6C2EE07F76B6}" cache="Slicer_Item" caption="Item"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45FBB-6078-4F73-9AE1-96CC109B3F85}">
  <dimension ref="A3:B73"/>
  <sheetViews>
    <sheetView topLeftCell="C36" workbookViewId="0">
      <selection activeCell="R40" sqref="R40"/>
    </sheetView>
  </sheetViews>
  <sheetFormatPr defaultRowHeight="15" x14ac:dyDescent="0.25"/>
  <cols>
    <col min="1" max="1" width="13.140625" bestFit="1" customWidth="1"/>
    <col min="2" max="2" width="10.7109375" bestFit="1" customWidth="1"/>
    <col min="3" max="3" width="16.42578125" bestFit="1" customWidth="1"/>
  </cols>
  <sheetData>
    <row r="3" spans="1:2" x14ac:dyDescent="0.25">
      <c r="A3" s="7" t="s">
        <v>40</v>
      </c>
      <c r="B3" t="s">
        <v>42</v>
      </c>
    </row>
    <row r="4" spans="1:2" x14ac:dyDescent="0.25">
      <c r="A4" s="8" t="s">
        <v>21</v>
      </c>
      <c r="B4" s="9">
        <v>36400</v>
      </c>
    </row>
    <row r="5" spans="1:2" x14ac:dyDescent="0.25">
      <c r="A5" s="8" t="s">
        <v>24</v>
      </c>
      <c r="B5" s="9">
        <v>40500</v>
      </c>
    </row>
    <row r="6" spans="1:2" x14ac:dyDescent="0.25">
      <c r="A6" s="8" t="s">
        <v>9</v>
      </c>
      <c r="B6" s="9">
        <v>89790</v>
      </c>
    </row>
    <row r="7" spans="1:2" x14ac:dyDescent="0.25">
      <c r="A7" s="8" t="s">
        <v>27</v>
      </c>
      <c r="B7" s="9">
        <v>35000</v>
      </c>
    </row>
    <row r="8" spans="1:2" x14ac:dyDescent="0.25">
      <c r="A8" s="8" t="s">
        <v>25</v>
      </c>
      <c r="B8" s="9">
        <v>28000</v>
      </c>
    </row>
    <row r="9" spans="1:2" x14ac:dyDescent="0.25">
      <c r="A9" s="8" t="s">
        <v>20</v>
      </c>
      <c r="B9" s="9">
        <v>17010</v>
      </c>
    </row>
    <row r="10" spans="1:2" x14ac:dyDescent="0.25">
      <c r="A10" s="8" t="s">
        <v>18</v>
      </c>
      <c r="B10" s="9">
        <v>28080</v>
      </c>
    </row>
    <row r="11" spans="1:2" x14ac:dyDescent="0.25">
      <c r="A11" s="8" t="s">
        <v>22</v>
      </c>
      <c r="B11" s="9">
        <v>36950</v>
      </c>
    </row>
    <row r="12" spans="1:2" x14ac:dyDescent="0.25">
      <c r="A12" s="8" t="s">
        <v>13</v>
      </c>
      <c r="B12" s="9">
        <v>12440</v>
      </c>
    </row>
    <row r="13" spans="1:2" x14ac:dyDescent="0.25">
      <c r="A13" s="8" t="s">
        <v>23</v>
      </c>
      <c r="B13" s="9">
        <v>7000</v>
      </c>
    </row>
    <row r="14" spans="1:2" x14ac:dyDescent="0.25">
      <c r="A14" s="8" t="s">
        <v>11</v>
      </c>
      <c r="B14" s="9">
        <v>45670</v>
      </c>
    </row>
    <row r="15" spans="1:2" x14ac:dyDescent="0.25">
      <c r="A15" s="8" t="s">
        <v>29</v>
      </c>
      <c r="B15" s="9">
        <v>10500</v>
      </c>
    </row>
    <row r="16" spans="1:2" x14ac:dyDescent="0.25">
      <c r="A16" s="8" t="s">
        <v>19</v>
      </c>
      <c r="B16" s="9">
        <v>14720</v>
      </c>
    </row>
    <row r="17" spans="1:2" x14ac:dyDescent="0.25">
      <c r="A17" s="8" t="s">
        <v>28</v>
      </c>
      <c r="B17" s="9">
        <v>33600</v>
      </c>
    </row>
    <row r="18" spans="1:2" x14ac:dyDescent="0.25">
      <c r="A18" s="8" t="s">
        <v>15</v>
      </c>
      <c r="B18" s="9">
        <v>16740</v>
      </c>
    </row>
    <row r="19" spans="1:2" x14ac:dyDescent="0.25">
      <c r="A19" s="8" t="s">
        <v>41</v>
      </c>
      <c r="B19" s="9">
        <v>452400</v>
      </c>
    </row>
    <row r="21" spans="1:2" x14ac:dyDescent="0.25">
      <c r="A21" s="7" t="s">
        <v>40</v>
      </c>
      <c r="B21" t="s">
        <v>42</v>
      </c>
    </row>
    <row r="22" spans="1:2" x14ac:dyDescent="0.25">
      <c r="A22" s="8" t="s">
        <v>26</v>
      </c>
      <c r="B22" s="9">
        <v>79100</v>
      </c>
    </row>
    <row r="23" spans="1:2" x14ac:dyDescent="0.25">
      <c r="A23" s="8" t="s">
        <v>17</v>
      </c>
      <c r="B23" s="9">
        <v>104980</v>
      </c>
    </row>
    <row r="24" spans="1:2" x14ac:dyDescent="0.25">
      <c r="A24" s="8" t="s">
        <v>10</v>
      </c>
      <c r="B24" s="9">
        <v>114350</v>
      </c>
    </row>
    <row r="25" spans="1:2" x14ac:dyDescent="0.25">
      <c r="A25" s="8" t="s">
        <v>8</v>
      </c>
      <c r="B25" s="9">
        <v>117790</v>
      </c>
    </row>
    <row r="26" spans="1:2" x14ac:dyDescent="0.25">
      <c r="A26" s="8" t="s">
        <v>12</v>
      </c>
      <c r="B26" s="9">
        <v>36180</v>
      </c>
    </row>
    <row r="27" spans="1:2" x14ac:dyDescent="0.25">
      <c r="A27" s="8" t="s">
        <v>41</v>
      </c>
      <c r="B27" s="9">
        <v>452400</v>
      </c>
    </row>
    <row r="31" spans="1:2" x14ac:dyDescent="0.25">
      <c r="A31" s="7" t="s">
        <v>40</v>
      </c>
      <c r="B31" t="s">
        <v>42</v>
      </c>
    </row>
    <row r="32" spans="1:2" x14ac:dyDescent="0.25">
      <c r="A32" s="8" t="s">
        <v>14</v>
      </c>
      <c r="B32" s="9">
        <v>167690</v>
      </c>
    </row>
    <row r="33" spans="1:2" x14ac:dyDescent="0.25">
      <c r="A33" s="8" t="s">
        <v>16</v>
      </c>
      <c r="B33" s="9">
        <v>102930</v>
      </c>
    </row>
    <row r="34" spans="1:2" x14ac:dyDescent="0.25">
      <c r="A34" s="8" t="s">
        <v>7</v>
      </c>
      <c r="B34" s="9">
        <v>181780</v>
      </c>
    </row>
    <row r="35" spans="1:2" x14ac:dyDescent="0.25">
      <c r="A35" s="8" t="s">
        <v>41</v>
      </c>
      <c r="B35" s="9">
        <v>452400</v>
      </c>
    </row>
    <row r="41" spans="1:2" x14ac:dyDescent="0.25">
      <c r="A41" s="7" t="s">
        <v>40</v>
      </c>
      <c r="B41" t="s">
        <v>42</v>
      </c>
    </row>
    <row r="42" spans="1:2" x14ac:dyDescent="0.25">
      <c r="A42" s="10">
        <v>46023</v>
      </c>
      <c r="B42" s="9">
        <v>45550</v>
      </c>
    </row>
    <row r="43" spans="1:2" x14ac:dyDescent="0.25">
      <c r="A43" s="10">
        <v>46024</v>
      </c>
      <c r="B43" s="9">
        <v>58550</v>
      </c>
    </row>
    <row r="44" spans="1:2" x14ac:dyDescent="0.25">
      <c r="A44" s="10">
        <v>46025</v>
      </c>
      <c r="B44" s="9">
        <v>27900</v>
      </c>
    </row>
    <row r="45" spans="1:2" x14ac:dyDescent="0.25">
      <c r="A45" s="10">
        <v>46026</v>
      </c>
      <c r="B45" s="9">
        <v>52350</v>
      </c>
    </row>
    <row r="46" spans="1:2" x14ac:dyDescent="0.25">
      <c r="A46" s="10">
        <v>46027</v>
      </c>
      <c r="B46" s="9">
        <v>47500</v>
      </c>
    </row>
    <row r="47" spans="1:2" x14ac:dyDescent="0.25">
      <c r="A47" s="10">
        <v>46028</v>
      </c>
      <c r="B47" s="9">
        <v>43120</v>
      </c>
    </row>
    <row r="48" spans="1:2" x14ac:dyDescent="0.25">
      <c r="A48" s="10">
        <v>46029</v>
      </c>
      <c r="B48" s="9">
        <v>68600</v>
      </c>
    </row>
    <row r="49" spans="1:2" x14ac:dyDescent="0.25">
      <c r="A49" s="10">
        <v>46030</v>
      </c>
      <c r="B49" s="9">
        <v>16740</v>
      </c>
    </row>
    <row r="50" spans="1:2" x14ac:dyDescent="0.25">
      <c r="A50" s="10">
        <v>46031</v>
      </c>
      <c r="B50" s="9">
        <v>21000</v>
      </c>
    </row>
    <row r="51" spans="1:2" x14ac:dyDescent="0.25">
      <c r="A51" s="10">
        <v>46032</v>
      </c>
      <c r="B51" s="9">
        <v>44520</v>
      </c>
    </row>
    <row r="52" spans="1:2" x14ac:dyDescent="0.25">
      <c r="A52" s="10">
        <v>46033</v>
      </c>
      <c r="B52" s="9">
        <v>7040</v>
      </c>
    </row>
    <row r="53" spans="1:2" x14ac:dyDescent="0.25">
      <c r="A53" s="10">
        <v>46034</v>
      </c>
      <c r="B53" s="9">
        <v>19530</v>
      </c>
    </row>
    <row r="54" spans="1:2" x14ac:dyDescent="0.25">
      <c r="A54" s="10" t="s">
        <v>41</v>
      </c>
      <c r="B54" s="9">
        <v>452400</v>
      </c>
    </row>
    <row r="57" spans="1:2" x14ac:dyDescent="0.25">
      <c r="A57" s="7" t="s">
        <v>40</v>
      </c>
      <c r="B57" t="s">
        <v>43</v>
      </c>
    </row>
    <row r="58" spans="1:2" x14ac:dyDescent="0.25">
      <c r="A58" s="8" t="s">
        <v>21</v>
      </c>
      <c r="B58" s="9">
        <v>70</v>
      </c>
    </row>
    <row r="59" spans="1:2" x14ac:dyDescent="0.25">
      <c r="A59" s="8" t="s">
        <v>24</v>
      </c>
      <c r="B59" s="9">
        <v>90</v>
      </c>
    </row>
    <row r="60" spans="1:2" x14ac:dyDescent="0.25">
      <c r="A60" s="8" t="s">
        <v>9</v>
      </c>
      <c r="B60" s="9">
        <v>400</v>
      </c>
    </row>
    <row r="61" spans="1:2" x14ac:dyDescent="0.25">
      <c r="A61" s="8" t="s">
        <v>27</v>
      </c>
      <c r="B61" s="9">
        <v>50</v>
      </c>
    </row>
    <row r="62" spans="1:2" x14ac:dyDescent="0.25">
      <c r="A62" s="8" t="s">
        <v>25</v>
      </c>
      <c r="B62" s="9">
        <v>80</v>
      </c>
    </row>
    <row r="63" spans="1:2" x14ac:dyDescent="0.25">
      <c r="A63" s="8" t="s">
        <v>20</v>
      </c>
      <c r="B63" s="9">
        <v>400</v>
      </c>
    </row>
    <row r="64" spans="1:2" x14ac:dyDescent="0.25">
      <c r="A64" s="8" t="s">
        <v>18</v>
      </c>
      <c r="B64" s="9">
        <v>460</v>
      </c>
    </row>
    <row r="65" spans="1:2" x14ac:dyDescent="0.25">
      <c r="A65" s="8" t="s">
        <v>22</v>
      </c>
      <c r="B65" s="9">
        <v>250</v>
      </c>
    </row>
    <row r="66" spans="1:2" x14ac:dyDescent="0.25">
      <c r="A66" s="8" t="s">
        <v>13</v>
      </c>
      <c r="B66" s="9">
        <v>400</v>
      </c>
    </row>
    <row r="67" spans="1:2" x14ac:dyDescent="0.25">
      <c r="A67" s="8" t="s">
        <v>23</v>
      </c>
      <c r="B67" s="9">
        <v>250</v>
      </c>
    </row>
    <row r="68" spans="1:2" x14ac:dyDescent="0.25">
      <c r="A68" s="8" t="s">
        <v>11</v>
      </c>
      <c r="B68" s="9">
        <v>830</v>
      </c>
    </row>
    <row r="69" spans="1:2" x14ac:dyDescent="0.25">
      <c r="A69" s="8" t="s">
        <v>29</v>
      </c>
      <c r="B69" s="9">
        <v>300</v>
      </c>
    </row>
    <row r="70" spans="1:2" x14ac:dyDescent="0.25">
      <c r="A70" s="8" t="s">
        <v>19</v>
      </c>
      <c r="B70" s="9">
        <v>300</v>
      </c>
    </row>
    <row r="71" spans="1:2" x14ac:dyDescent="0.25">
      <c r="A71" s="8" t="s">
        <v>28</v>
      </c>
      <c r="B71" s="9">
        <v>120</v>
      </c>
    </row>
    <row r="72" spans="1:2" x14ac:dyDescent="0.25">
      <c r="A72" s="8" t="s">
        <v>15</v>
      </c>
      <c r="B72" s="9">
        <v>430</v>
      </c>
    </row>
    <row r="73" spans="1:2" x14ac:dyDescent="0.25">
      <c r="A73" s="8" t="s">
        <v>41</v>
      </c>
      <c r="B73" s="9">
        <v>4430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78A3B-200B-42A9-A5E5-06D67C2B8ADF}">
  <dimension ref="A1"/>
  <sheetViews>
    <sheetView zoomScale="70" zoomScaleNormal="70" workbookViewId="0">
      <selection activeCell="AB34" sqref="AB3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E0BB5-660F-4755-9AF9-94856F170D77}">
  <dimension ref="B2:L27"/>
  <sheetViews>
    <sheetView workbookViewId="0">
      <selection activeCell="K6" sqref="K6"/>
    </sheetView>
  </sheetViews>
  <sheetFormatPr defaultRowHeight="15" x14ac:dyDescent="0.25"/>
  <cols>
    <col min="2" max="2" width="10.42578125" bestFit="1" customWidth="1"/>
    <col min="3" max="3" width="8.28515625" bestFit="1" customWidth="1"/>
    <col min="4" max="4" width="12.140625" customWidth="1"/>
    <col min="5" max="5" width="8" bestFit="1" customWidth="1"/>
    <col min="6" max="6" width="7.42578125" bestFit="1" customWidth="1"/>
    <col min="7" max="7" width="9.28515625" bestFit="1" customWidth="1"/>
    <col min="8" max="8" width="10" bestFit="1" customWidth="1"/>
    <col min="11" max="11" width="27.42578125" bestFit="1" customWidth="1"/>
  </cols>
  <sheetData>
    <row r="2" spans="2:12" x14ac:dyDescent="0.25">
      <c r="B2" t="s">
        <v>0</v>
      </c>
      <c r="C2" t="s">
        <v>1</v>
      </c>
      <c r="D2" t="s">
        <v>2</v>
      </c>
      <c r="E2" t="s">
        <v>3</v>
      </c>
      <c r="F2" t="s">
        <v>4</v>
      </c>
      <c r="G2" t="s">
        <v>5</v>
      </c>
      <c r="H2" t="s">
        <v>6</v>
      </c>
    </row>
    <row r="3" spans="2:12" x14ac:dyDescent="0.25">
      <c r="B3" s="3">
        <v>46023</v>
      </c>
      <c r="C3" t="s">
        <v>7</v>
      </c>
      <c r="D3" t="s">
        <v>8</v>
      </c>
      <c r="E3" t="s">
        <v>9</v>
      </c>
      <c r="F3" s="4">
        <v>120</v>
      </c>
      <c r="G3" s="4">
        <v>220</v>
      </c>
      <c r="H3" s="4">
        <v>26400</v>
      </c>
      <c r="J3" s="4">
        <v>1</v>
      </c>
      <c r="K3" t="s">
        <v>30</v>
      </c>
      <c r="L3" t="s">
        <v>35</v>
      </c>
    </row>
    <row r="4" spans="2:12" x14ac:dyDescent="0.25">
      <c r="B4" s="3">
        <v>46023</v>
      </c>
      <c r="C4" t="s">
        <v>7</v>
      </c>
      <c r="D4" t="s">
        <v>10</v>
      </c>
      <c r="E4" t="s">
        <v>11</v>
      </c>
      <c r="F4" s="4">
        <v>250</v>
      </c>
      <c r="G4" s="4">
        <v>55</v>
      </c>
      <c r="H4" s="4">
        <v>13750</v>
      </c>
      <c r="J4" s="4">
        <v>2</v>
      </c>
      <c r="K4" t="s">
        <v>31</v>
      </c>
      <c r="L4" t="s">
        <v>36</v>
      </c>
    </row>
    <row r="5" spans="2:12" x14ac:dyDescent="0.25">
      <c r="B5" s="3">
        <v>46023</v>
      </c>
      <c r="C5" t="s">
        <v>7</v>
      </c>
      <c r="D5" t="s">
        <v>12</v>
      </c>
      <c r="E5" t="s">
        <v>13</v>
      </c>
      <c r="F5" s="4">
        <v>180</v>
      </c>
      <c r="G5" s="4">
        <v>30</v>
      </c>
      <c r="H5" s="4">
        <v>5400</v>
      </c>
      <c r="J5" s="4">
        <v>3</v>
      </c>
      <c r="K5" t="s">
        <v>32</v>
      </c>
      <c r="L5" t="s">
        <v>37</v>
      </c>
    </row>
    <row r="6" spans="2:12" x14ac:dyDescent="0.25">
      <c r="B6" s="3">
        <v>46024</v>
      </c>
      <c r="C6" t="s">
        <v>14</v>
      </c>
      <c r="D6" t="s">
        <v>8</v>
      </c>
      <c r="E6" t="s">
        <v>9</v>
      </c>
      <c r="F6" s="4">
        <v>150</v>
      </c>
      <c r="G6" s="4">
        <v>225</v>
      </c>
      <c r="H6" s="4">
        <v>33750</v>
      </c>
      <c r="J6" s="6">
        <f>+J5+1</f>
        <v>4</v>
      </c>
      <c r="K6" s="5" t="s">
        <v>33</v>
      </c>
      <c r="L6" t="s">
        <v>38</v>
      </c>
    </row>
    <row r="7" spans="2:12" x14ac:dyDescent="0.25">
      <c r="B7" s="3">
        <v>46024</v>
      </c>
      <c r="C7" t="s">
        <v>14</v>
      </c>
      <c r="D7" t="s">
        <v>10</v>
      </c>
      <c r="E7" t="s">
        <v>11</v>
      </c>
      <c r="F7" s="4">
        <v>300</v>
      </c>
      <c r="G7" s="4">
        <v>56</v>
      </c>
      <c r="H7" s="4">
        <v>16800</v>
      </c>
      <c r="J7" s="6">
        <f>+J6+1</f>
        <v>5</v>
      </c>
      <c r="K7" s="5" t="s">
        <v>34</v>
      </c>
      <c r="L7" t="s">
        <v>39</v>
      </c>
    </row>
    <row r="8" spans="2:12" x14ac:dyDescent="0.25">
      <c r="B8" s="3">
        <v>46024</v>
      </c>
      <c r="C8" t="s">
        <v>14</v>
      </c>
      <c r="D8" t="s">
        <v>12</v>
      </c>
      <c r="E8" t="s">
        <v>15</v>
      </c>
      <c r="F8" s="4">
        <v>200</v>
      </c>
      <c r="G8" s="4">
        <v>40</v>
      </c>
      <c r="H8" s="4">
        <v>8000</v>
      </c>
    </row>
    <row r="9" spans="2:12" x14ac:dyDescent="0.25">
      <c r="B9" s="3">
        <v>46025</v>
      </c>
      <c r="C9" t="s">
        <v>16</v>
      </c>
      <c r="D9" t="s">
        <v>17</v>
      </c>
      <c r="E9" t="s">
        <v>18</v>
      </c>
      <c r="F9" s="4">
        <v>220</v>
      </c>
      <c r="G9" s="4">
        <v>60</v>
      </c>
      <c r="H9" s="4">
        <v>13200</v>
      </c>
    </row>
    <row r="10" spans="2:12" x14ac:dyDescent="0.25">
      <c r="B10" s="3">
        <v>46025</v>
      </c>
      <c r="C10" t="s">
        <v>16</v>
      </c>
      <c r="D10" t="s">
        <v>10</v>
      </c>
      <c r="E10" t="s">
        <v>19</v>
      </c>
      <c r="F10" s="4">
        <v>140</v>
      </c>
      <c r="G10" s="4">
        <v>48</v>
      </c>
      <c r="H10" s="4">
        <v>6720</v>
      </c>
    </row>
    <row r="11" spans="2:12" x14ac:dyDescent="0.25">
      <c r="B11" s="3">
        <v>46025</v>
      </c>
      <c r="C11" t="s">
        <v>16</v>
      </c>
      <c r="D11" t="s">
        <v>10</v>
      </c>
      <c r="E11" t="s">
        <v>20</v>
      </c>
      <c r="F11" s="4">
        <v>190</v>
      </c>
      <c r="G11" s="4">
        <v>42</v>
      </c>
      <c r="H11" s="4">
        <v>7980</v>
      </c>
    </row>
    <row r="12" spans="2:12" x14ac:dyDescent="0.25">
      <c r="B12" s="3">
        <v>46026</v>
      </c>
      <c r="C12" t="s">
        <v>7</v>
      </c>
      <c r="D12" t="s">
        <v>17</v>
      </c>
      <c r="E12" t="s">
        <v>21</v>
      </c>
      <c r="F12" s="4">
        <v>70</v>
      </c>
      <c r="G12" s="4">
        <v>520</v>
      </c>
      <c r="H12" s="4">
        <v>36400</v>
      </c>
    </row>
    <row r="13" spans="2:12" x14ac:dyDescent="0.25">
      <c r="B13" s="3">
        <v>46026</v>
      </c>
      <c r="C13" t="s">
        <v>7</v>
      </c>
      <c r="D13" t="s">
        <v>10</v>
      </c>
      <c r="E13" t="s">
        <v>22</v>
      </c>
      <c r="F13" s="4">
        <v>110</v>
      </c>
      <c r="G13" s="4">
        <v>145</v>
      </c>
      <c r="H13" s="4">
        <v>15950</v>
      </c>
    </row>
    <row r="14" spans="2:12" x14ac:dyDescent="0.25">
      <c r="B14" s="3">
        <v>46027</v>
      </c>
      <c r="C14" t="s">
        <v>14</v>
      </c>
      <c r="D14" t="s">
        <v>12</v>
      </c>
      <c r="E14" t="s">
        <v>23</v>
      </c>
      <c r="F14" s="4">
        <v>250</v>
      </c>
      <c r="G14" s="4">
        <v>28</v>
      </c>
      <c r="H14" s="4">
        <v>7000</v>
      </c>
    </row>
    <row r="15" spans="2:12" x14ac:dyDescent="0.25">
      <c r="B15" s="3">
        <v>46027</v>
      </c>
      <c r="C15" t="s">
        <v>14</v>
      </c>
      <c r="D15" t="s">
        <v>17</v>
      </c>
      <c r="E15" t="s">
        <v>24</v>
      </c>
      <c r="F15" s="4">
        <v>90</v>
      </c>
      <c r="G15" s="4">
        <v>450</v>
      </c>
      <c r="H15" s="4">
        <v>40500</v>
      </c>
    </row>
    <row r="16" spans="2:12" x14ac:dyDescent="0.25">
      <c r="B16" s="3">
        <v>46028</v>
      </c>
      <c r="C16" t="s">
        <v>16</v>
      </c>
      <c r="D16" t="s">
        <v>8</v>
      </c>
      <c r="E16" t="s">
        <v>25</v>
      </c>
      <c r="F16" s="4">
        <v>80</v>
      </c>
      <c r="G16" s="4">
        <v>350</v>
      </c>
      <c r="H16" s="4">
        <v>28000</v>
      </c>
    </row>
    <row r="17" spans="2:8" x14ac:dyDescent="0.25">
      <c r="B17" s="3">
        <v>46028</v>
      </c>
      <c r="C17" t="s">
        <v>16</v>
      </c>
      <c r="D17" t="s">
        <v>10</v>
      </c>
      <c r="E17" t="s">
        <v>11</v>
      </c>
      <c r="F17" s="4">
        <v>280</v>
      </c>
      <c r="G17" s="4">
        <v>54</v>
      </c>
      <c r="H17" s="4">
        <v>15120</v>
      </c>
    </row>
    <row r="18" spans="2:8" x14ac:dyDescent="0.25">
      <c r="B18" s="3">
        <v>46029</v>
      </c>
      <c r="C18" t="s">
        <v>7</v>
      </c>
      <c r="D18" t="s">
        <v>26</v>
      </c>
      <c r="E18" t="s">
        <v>27</v>
      </c>
      <c r="F18" s="4">
        <v>50</v>
      </c>
      <c r="G18" s="4">
        <v>700</v>
      </c>
      <c r="H18" s="4">
        <v>35000</v>
      </c>
    </row>
    <row r="19" spans="2:8" x14ac:dyDescent="0.25">
      <c r="B19" s="3">
        <v>46029</v>
      </c>
      <c r="C19" t="s">
        <v>14</v>
      </c>
      <c r="D19" t="s">
        <v>26</v>
      </c>
      <c r="E19" t="s">
        <v>28</v>
      </c>
      <c r="F19" s="4">
        <v>120</v>
      </c>
      <c r="G19" s="4">
        <v>280</v>
      </c>
      <c r="H19" s="4">
        <v>33600</v>
      </c>
    </row>
    <row r="20" spans="2:8" x14ac:dyDescent="0.25">
      <c r="B20" s="3">
        <v>46030</v>
      </c>
      <c r="C20" t="s">
        <v>16</v>
      </c>
      <c r="D20" t="s">
        <v>10</v>
      </c>
      <c r="E20" t="s">
        <v>19</v>
      </c>
      <c r="F20" s="4">
        <v>160</v>
      </c>
      <c r="G20" s="4">
        <v>50</v>
      </c>
      <c r="H20" s="4">
        <v>8000</v>
      </c>
    </row>
    <row r="21" spans="2:8" x14ac:dyDescent="0.25">
      <c r="B21" s="3">
        <v>46030</v>
      </c>
      <c r="C21" t="s">
        <v>7</v>
      </c>
      <c r="D21" t="s">
        <v>12</v>
      </c>
      <c r="E21" t="s">
        <v>15</v>
      </c>
      <c r="F21" s="4">
        <v>230</v>
      </c>
      <c r="G21" s="4">
        <v>38</v>
      </c>
      <c r="H21" s="4">
        <v>8740</v>
      </c>
    </row>
    <row r="22" spans="2:8" x14ac:dyDescent="0.25">
      <c r="B22" s="3">
        <v>46031</v>
      </c>
      <c r="C22" t="s">
        <v>14</v>
      </c>
      <c r="D22" t="s">
        <v>10</v>
      </c>
      <c r="E22" t="s">
        <v>22</v>
      </c>
      <c r="F22" s="4">
        <v>140</v>
      </c>
      <c r="G22" s="4">
        <v>150</v>
      </c>
      <c r="H22" s="4">
        <v>21000</v>
      </c>
    </row>
    <row r="23" spans="2:8" x14ac:dyDescent="0.25">
      <c r="B23" s="3">
        <v>46032</v>
      </c>
      <c r="C23" t="s">
        <v>16</v>
      </c>
      <c r="D23" t="s">
        <v>17</v>
      </c>
      <c r="E23" t="s">
        <v>18</v>
      </c>
      <c r="F23" s="4">
        <v>240</v>
      </c>
      <c r="G23" s="4">
        <v>62</v>
      </c>
      <c r="H23" s="4">
        <v>14880</v>
      </c>
    </row>
    <row r="24" spans="2:8" x14ac:dyDescent="0.25">
      <c r="B24" s="3">
        <v>46032</v>
      </c>
      <c r="C24" t="s">
        <v>7</v>
      </c>
      <c r="D24" t="s">
        <v>8</v>
      </c>
      <c r="E24" t="s">
        <v>9</v>
      </c>
      <c r="F24" s="4">
        <v>130</v>
      </c>
      <c r="G24" s="4">
        <v>228</v>
      </c>
      <c r="H24" s="4">
        <v>29640</v>
      </c>
    </row>
    <row r="25" spans="2:8" x14ac:dyDescent="0.25">
      <c r="B25" s="3">
        <v>46033</v>
      </c>
      <c r="C25" t="s">
        <v>14</v>
      </c>
      <c r="D25" t="s">
        <v>12</v>
      </c>
      <c r="E25" t="s">
        <v>13</v>
      </c>
      <c r="F25" s="4">
        <v>220</v>
      </c>
      <c r="G25" s="4">
        <v>32</v>
      </c>
      <c r="H25" s="4">
        <v>7040</v>
      </c>
    </row>
    <row r="26" spans="2:8" x14ac:dyDescent="0.25">
      <c r="B26" s="3">
        <v>46034</v>
      </c>
      <c r="C26" t="s">
        <v>16</v>
      </c>
      <c r="D26" t="s">
        <v>10</v>
      </c>
      <c r="E26" t="s">
        <v>20</v>
      </c>
      <c r="F26" s="4">
        <v>210</v>
      </c>
      <c r="G26" s="4">
        <v>43</v>
      </c>
      <c r="H26" s="4">
        <v>9030</v>
      </c>
    </row>
    <row r="27" spans="2:8" x14ac:dyDescent="0.25">
      <c r="B27" s="3">
        <v>46034</v>
      </c>
      <c r="C27" t="s">
        <v>7</v>
      </c>
      <c r="D27" t="s">
        <v>26</v>
      </c>
      <c r="E27" t="s">
        <v>29</v>
      </c>
      <c r="F27" s="4">
        <v>300</v>
      </c>
      <c r="G27" s="4">
        <v>35</v>
      </c>
      <c r="H27" s="4">
        <v>10500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5CA21-F822-4E19-8782-8C96FF31FD36}">
  <dimension ref="B1:Q17"/>
  <sheetViews>
    <sheetView tabSelected="1" topLeftCell="B1" workbookViewId="0">
      <selection activeCell="O17" sqref="O17"/>
    </sheetView>
  </sheetViews>
  <sheetFormatPr defaultRowHeight="15" x14ac:dyDescent="0.25"/>
  <cols>
    <col min="12" max="12" width="10" bestFit="1" customWidth="1"/>
    <col min="14" max="14" width="6.42578125" bestFit="1" customWidth="1"/>
    <col min="15" max="15" width="8.42578125" bestFit="1" customWidth="1"/>
  </cols>
  <sheetData>
    <row r="1" spans="2:17" x14ac:dyDescent="0.25">
      <c r="B1">
        <v>23</v>
      </c>
    </row>
    <row r="2" spans="2:17" x14ac:dyDescent="0.25">
      <c r="B2">
        <v>23</v>
      </c>
    </row>
    <row r="3" spans="2:17" ht="30" x14ac:dyDescent="0.25">
      <c r="B3">
        <v>23</v>
      </c>
      <c r="C3">
        <f>(B3-B1)/B2</f>
        <v>0</v>
      </c>
      <c r="N3" s="1" t="s">
        <v>48</v>
      </c>
      <c r="O3" s="1" t="s">
        <v>49</v>
      </c>
    </row>
    <row r="4" spans="2:17" x14ac:dyDescent="0.25">
      <c r="D4" t="s">
        <v>44</v>
      </c>
      <c r="N4" s="2" t="s">
        <v>50</v>
      </c>
      <c r="O4" s="2">
        <v>24</v>
      </c>
      <c r="P4">
        <f>+O4-$P$16</f>
        <v>-76</v>
      </c>
      <c r="Q4">
        <f>_xlfn.STDEV.P(100,101,99,100,100)</f>
        <v>0.63245553203367588</v>
      </c>
    </row>
    <row r="5" spans="2:17" x14ac:dyDescent="0.25">
      <c r="D5">
        <v>10</v>
      </c>
      <c r="E5">
        <v>10</v>
      </c>
      <c r="G5">
        <v>1</v>
      </c>
      <c r="J5">
        <v>15</v>
      </c>
      <c r="N5" s="2" t="s">
        <v>51</v>
      </c>
      <c r="O5" s="2">
        <v>25</v>
      </c>
      <c r="P5">
        <f t="shared" ref="P5:P13" si="0">+O5-$P$16</f>
        <v>-75</v>
      </c>
    </row>
    <row r="6" spans="2:17" x14ac:dyDescent="0.25">
      <c r="D6">
        <v>20</v>
      </c>
      <c r="E6">
        <v>20</v>
      </c>
      <c r="G6">
        <f>+G5+2</f>
        <v>3</v>
      </c>
      <c r="J6">
        <f>+J5+2</f>
        <v>17</v>
      </c>
      <c r="N6" s="2" t="s">
        <v>52</v>
      </c>
      <c r="O6" s="2">
        <v>26</v>
      </c>
      <c r="P6">
        <f t="shared" si="0"/>
        <v>-74</v>
      </c>
    </row>
    <row r="7" spans="2:17" x14ac:dyDescent="0.25">
      <c r="D7">
        <v>30</v>
      </c>
      <c r="E7">
        <v>30</v>
      </c>
      <c r="G7">
        <f t="shared" ref="G7:J9" si="1">+G6+2</f>
        <v>5</v>
      </c>
      <c r="J7">
        <f t="shared" si="1"/>
        <v>19</v>
      </c>
      <c r="N7" s="2" t="s">
        <v>53</v>
      </c>
      <c r="O7" s="2">
        <v>25</v>
      </c>
      <c r="P7">
        <f t="shared" si="0"/>
        <v>-75</v>
      </c>
    </row>
    <row r="8" spans="2:17" x14ac:dyDescent="0.25">
      <c r="D8">
        <v>40</v>
      </c>
      <c r="E8">
        <v>40</v>
      </c>
      <c r="G8">
        <f t="shared" si="1"/>
        <v>7</v>
      </c>
      <c r="J8">
        <f t="shared" si="1"/>
        <v>21</v>
      </c>
      <c r="N8" s="2" t="s">
        <v>54</v>
      </c>
      <c r="O8" s="2">
        <v>24</v>
      </c>
      <c r="P8">
        <f t="shared" si="0"/>
        <v>-76</v>
      </c>
    </row>
    <row r="9" spans="2:17" x14ac:dyDescent="0.25">
      <c r="D9">
        <v>50</v>
      </c>
      <c r="E9">
        <v>1000</v>
      </c>
      <c r="G9">
        <f t="shared" si="1"/>
        <v>9</v>
      </c>
      <c r="J9">
        <f t="shared" si="1"/>
        <v>23</v>
      </c>
      <c r="N9" s="2" t="s">
        <v>55</v>
      </c>
      <c r="O9" s="2">
        <v>26</v>
      </c>
      <c r="P9">
        <f t="shared" si="0"/>
        <v>-74</v>
      </c>
    </row>
    <row r="10" spans="2:17" x14ac:dyDescent="0.25">
      <c r="N10" s="2" t="s">
        <v>56</v>
      </c>
      <c r="O10" s="2">
        <v>25</v>
      </c>
      <c r="P10">
        <f t="shared" si="0"/>
        <v>-75</v>
      </c>
    </row>
    <row r="11" spans="2:17" x14ac:dyDescent="0.25">
      <c r="D11">
        <f>AVERAGE(D5:D9)</f>
        <v>30</v>
      </c>
      <c r="E11">
        <f>AVERAGE(E5:E9)</f>
        <v>220</v>
      </c>
      <c r="G11">
        <f>+MEDIAN(G5:G9)</f>
        <v>5</v>
      </c>
      <c r="I11" t="s">
        <v>45</v>
      </c>
      <c r="J11">
        <f>MAX(J5:J9)</f>
        <v>23</v>
      </c>
      <c r="N11" s="2" t="s">
        <v>57</v>
      </c>
      <c r="O11" s="2">
        <v>27</v>
      </c>
      <c r="P11">
        <f t="shared" si="0"/>
        <v>-73</v>
      </c>
    </row>
    <row r="12" spans="2:17" x14ac:dyDescent="0.25">
      <c r="I12" t="s">
        <v>46</v>
      </c>
      <c r="J12">
        <f>+MIN(J5:J9)</f>
        <v>15</v>
      </c>
      <c r="N12" s="2" t="s">
        <v>58</v>
      </c>
      <c r="O12" s="2">
        <v>24</v>
      </c>
      <c r="P12">
        <f t="shared" si="0"/>
        <v>-76</v>
      </c>
    </row>
    <row r="13" spans="2:17" x14ac:dyDescent="0.25">
      <c r="I13" t="s">
        <v>47</v>
      </c>
      <c r="J13">
        <f>+_xlfn.STDEV.P(J5:J9)</f>
        <v>2.8284271247461903</v>
      </c>
      <c r="N13" s="2" t="s">
        <v>59</v>
      </c>
      <c r="O13" s="2">
        <v>25</v>
      </c>
      <c r="P13">
        <f t="shared" si="0"/>
        <v>-75</v>
      </c>
    </row>
    <row r="14" spans="2:17" x14ac:dyDescent="0.25">
      <c r="J14">
        <f>+_xlfn.STDEV.P(J11:J12)</f>
        <v>4</v>
      </c>
      <c r="N14" s="2" t="s">
        <v>60</v>
      </c>
      <c r="O14" s="11">
        <f>+AVERAGE(O4:O13)/100</f>
        <v>0.251</v>
      </c>
    </row>
    <row r="15" spans="2:17" x14ac:dyDescent="0.25">
      <c r="L15" s="4">
        <f>60000-50000/50000*100</f>
        <v>59900</v>
      </c>
      <c r="O15">
        <f>+SUM(O4:O13)/COUNT(O4:O13)*100</f>
        <v>2510</v>
      </c>
    </row>
    <row r="16" spans="2:17" x14ac:dyDescent="0.25">
      <c r="O16">
        <f>SUM(O4:O13)/10</f>
        <v>25.1</v>
      </c>
      <c r="P16">
        <v>100</v>
      </c>
      <c r="Q16">
        <f>+P16-O16</f>
        <v>74.900000000000006</v>
      </c>
    </row>
    <row r="17" spans="15:15" x14ac:dyDescent="0.25">
      <c r="O17" s="11">
        <f>_xlfn.STDEV.P(O4:O13)</f>
        <v>0.94339811320566036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sagarpagare2002@hotmail.com</dc:creator>
  <cp:lastModifiedBy>sagarpagare2002@hotmail.com</cp:lastModifiedBy>
  <dcterms:created xsi:type="dcterms:W3CDTF">2026-06-08T14:47:45Z</dcterms:created>
  <dcterms:modified xsi:type="dcterms:W3CDTF">2026-06-08T16:01:35Z</dcterms:modified>
</cp:coreProperties>
</file>